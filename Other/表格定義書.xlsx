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6006791\source\repos\ASI.TCL.CMFT\Other\"/>
    </mc:Choice>
  </mc:AlternateContent>
  <xr:revisionPtr revIDLastSave="0" documentId="13_ncr:1_{430EEDAE-7110-4222-984C-224441EB8886}" xr6:coauthVersionLast="47" xr6:coauthVersionMax="47" xr10:uidLastSave="{00000000-0000-0000-0000-000000000000}"/>
  <bookViews>
    <workbookView xWindow="28680" yWindow="-120" windowWidth="29040" windowHeight="15720" tabRatio="887" activeTab="6" xr2:uid="{00000000-000D-0000-FFFF-FFFF00000000}"/>
  </bookViews>
  <sheets>
    <sheet name="資料表一覽" sheetId="6" r:id="rId1"/>
    <sheet name="資料表詳細" sheetId="12" r:id="rId2"/>
    <sheet name="選單" sheetId="8" r:id="rId3"/>
    <sheet name="message_group" sheetId="98" r:id="rId4"/>
    <sheet name="message" sheetId="61" r:id="rId5"/>
    <sheet name="voice_group" sheetId="99" r:id="rId6"/>
    <sheet name="voice" sheetId="100" r:id="rId7"/>
    <sheet name="role" sheetId="96" r:id="rId8"/>
    <sheet name="user" sheetId="97" r:id="rId9"/>
    <sheet name="資料表模板" sheetId="33" r:id="rId10"/>
    <sheet name="參考" sheetId="32" r:id="rId11"/>
  </sheets>
  <definedNames>
    <definedName name="[資料表詳細]cmft_account">資料表詳細!$C$148</definedName>
    <definedName name="[資料表詳細]cmft_device">資料表詳細!#REF!</definedName>
    <definedName name="[資料表詳細]cmft_oper">資料表詳細!$C$124</definedName>
    <definedName name="[資料表詳細]cmft_role">資料表詳細!$C$133</definedName>
    <definedName name="[資料表詳細]cmft_role_auth">資料表詳細!$C$140</definedName>
    <definedName name="[資料表詳細]dlts_caller_display">資料表詳細!$C$361</definedName>
    <definedName name="[資料表詳細]dlts_caller_log">資料表詳細!$C$368</definedName>
    <definedName name="[資料表詳細]dlts_seat_status">資料表詳細!$C$353</definedName>
    <definedName name="[資料表詳細]dmd_char_blocklist">資料表詳細!#REF!</definedName>
    <definedName name="[資料表詳細]dmd_group">資料表詳細!$C$242</definedName>
    <definedName name="[資料表詳細]dmd_group_target">資料表詳細!$C$249</definedName>
    <definedName name="[資料表詳細]dmd_instant_message">資料表詳細!$C$276</definedName>
    <definedName name="[資料表詳細]dmd_playlist">資料表詳細!$C$314</definedName>
    <definedName name="[資料表詳細]dmd_power_setting">資料表詳細!$C$343</definedName>
    <definedName name="[資料表詳細]dmd_pre_record_message">資料表詳細!$C$257</definedName>
    <definedName name="[資料表詳細]dmd_schedule">資料表詳細!$C$325</definedName>
    <definedName name="[資料表詳細]dmd_schedule_playlist">資料表詳細!$C$334</definedName>
    <definedName name="[資料表詳細]dmd_target">資料表詳細!$C$232</definedName>
    <definedName name="[資料表詳細]dmd_train_message">資料表詳細!$C$294</definedName>
    <definedName name="[資料表詳細]otcs_equip_status">資料表詳細!#REF!</definedName>
    <definedName name="[資料表詳細]otcs_event">資料表詳細!$C$410</definedName>
    <definedName name="[資料表詳細]otcs_event_list">資料表詳細!$C$400</definedName>
    <definedName name="[資料表詳細]otcs_pre_record_message">資料表詳細!#REF!</definedName>
    <definedName name="[資料表詳細]otcs_train">資料表詳細!$C$377</definedName>
    <definedName name="[資料表詳細]pa_daypart_time">資料表詳細!$C$222</definedName>
    <definedName name="[資料表詳細]pa_daypart_volume">資料表詳細!$C$215</definedName>
    <definedName name="[資料表詳細]pa_group">資料表詳細!$C$166</definedName>
    <definedName name="[資料表詳細]pa_group_target">資料表詳細!$C$173</definedName>
    <definedName name="[資料表詳細]pa_pre_record_voice">資料表詳細!$C$180</definedName>
    <definedName name="[資料表詳細]pa_schedule">資料表詳細!$C$197</definedName>
    <definedName name="[資料表詳細]pa_schedule_playlist">資料表詳細!$C$206</definedName>
    <definedName name="[資料表詳細]pa_target">資料表詳細!$C$159</definedName>
    <definedName name="[資料表詳細]seat_equip">資料表詳細!$C$115</definedName>
    <definedName name="[資料表詳細]sync_linked_setting">資料表詳細!$C$433</definedName>
    <definedName name="[資料表詳細]sys_alarm">資料表詳細!$C$59</definedName>
    <definedName name="[資料表詳細]sys_alarm_history">資料表詳細!$C$71</definedName>
    <definedName name="[資料表詳細]sys_alarm_list">資料表詳細!$C$46</definedName>
    <definedName name="[資料表詳細]sys_config">資料表詳細!$C$4</definedName>
    <definedName name="[資料表詳細]sys_equip">資料表詳細!$C$88</definedName>
    <definedName name="[資料表詳細]sys_equip_catalog">資料表詳細!#REF!</definedName>
    <definedName name="[資料表詳細]sys_location">資料表詳細!#REF!</definedName>
    <definedName name="[資料表詳細]sys_oper_alarm_list">資料表詳細!$C$46</definedName>
    <definedName name="[資料表詳細]sys_oper_log">資料表詳細!$C$28</definedName>
    <definedName name="[資料表詳細]sys_oper_log_history">資料表詳細!$C$37</definedName>
    <definedName name="[資料表詳細]sys_seat">資料表詳細!$C$103</definedName>
    <definedName name="[資料表詳細]sys_seat_equip">資料表詳細!$C$115</definedName>
    <definedName name="[資料表詳細]sys_station">資料表詳細!$C$13</definedName>
    <definedName name="[資料表詳細]sys_station_area">資料表詳細!$C$21</definedName>
    <definedName name="_xlnm._FilterDatabase" localSheetId="0" hidden="1">資料表一覽!$A$2:$D$47</definedName>
    <definedName name="_xlcn.WorksheetConnection_表格定義書.xlsxpa_device表格1" hidden="1">[pa_target]表格</definedName>
    <definedName name="_xlcn.WorksheetConnection_表格定義書.xlsxsys_station_area表格1" hidden="1">[sys_station_area]表格</definedName>
    <definedName name="車站區域_LG01">#REF!</definedName>
    <definedName name="車站區域_LG02">#REF!</definedName>
    <definedName name="車站區域_LG03">#REF!</definedName>
    <definedName name="車站區域_LG04">#REF!</definedName>
    <definedName name="車站區域_LG05">#REF!</definedName>
    <definedName name="車站區域_LG06">#REF!</definedName>
    <definedName name="車站區域_LG07">#REF!</definedName>
    <definedName name="車站區域_LG08">#REF!</definedName>
    <definedName name="車站區域_LG08A">#REF!</definedName>
    <definedName name="車站區域_LG09">#REF!</definedName>
    <definedName name="選單_CMFT設備">選單!#REF!</definedName>
    <definedName name="選單_主畫面_中">選單!$V$3:$V$10</definedName>
    <definedName name="選單_主畫面_英">選單!$U$3:$U$10</definedName>
    <definedName name="選單_功能識別代碼">#REF!</definedName>
    <definedName name="選單_布林">選單!$E$3:$E$4</definedName>
    <definedName name="選單_列車通訊設備">選單!#REF!</definedName>
    <definedName name="選單_車站編號">#REF!</definedName>
    <definedName name="選單_直線電話設備">選單!#REF!</definedName>
    <definedName name="選單_空值">選單!$D$3:$D$4</definedName>
    <definedName name="選單_通訊光纖傳輸設備">選單!#REF!</definedName>
    <definedName name="選單_閉路電視設備">選單!#REF!</definedName>
    <definedName name="選單_無線電設備">選單!#REF!</definedName>
    <definedName name="選單_預設角色">#REF!</definedName>
    <definedName name="選單_廣播設備">選單!$AA$3:$AA$5</definedName>
    <definedName name="選單_模組_中">選單!$P$3:$P$12</definedName>
    <definedName name="選單_模組_英">選單!$O$3:$O$12</definedName>
    <definedName name="選單_操作功能">#REF!</definedName>
    <definedName name="選單_鍵值設定">選單!$C$3:$C$4</definedName>
    <definedName name="選單_屬性類型_Csharp">選單!$B$3:$B$20</definedName>
    <definedName name="選單_屬性類型_Postgre">選單!$A$3:$A$20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ys_station_area 表格" name="sys_station_area 表格" connection="WorksheetConnection_表格定義書.xlsx![sys_station_area]表格"/>
          <x15:modelTable id="pa_device 表格" name="pa_device 表格" connection="WorksheetConnection_表格定義書.xlsx![pa_device]表格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2" i="12" l="1"/>
  <c r="M452" i="12"/>
  <c r="N452" i="12"/>
  <c r="L459" i="12"/>
  <c r="M459" i="12"/>
  <c r="N459" i="12"/>
  <c r="L460" i="12"/>
  <c r="M460" i="12"/>
  <c r="N460" i="12"/>
  <c r="L461" i="12"/>
  <c r="M461" i="12"/>
  <c r="N461" i="12"/>
  <c r="L462" i="12"/>
  <c r="M462" i="12"/>
  <c r="N462" i="12"/>
  <c r="L429" i="12"/>
  <c r="M429" i="12"/>
  <c r="N429" i="12"/>
  <c r="L430" i="12"/>
  <c r="M430" i="12"/>
  <c r="N430" i="12"/>
  <c r="L431" i="12"/>
  <c r="M431" i="12"/>
  <c r="N431" i="12"/>
  <c r="L448" i="12"/>
  <c r="M448" i="12"/>
  <c r="N448" i="12"/>
  <c r="L449" i="12"/>
  <c r="M449" i="12"/>
  <c r="N449" i="12"/>
  <c r="L450" i="12"/>
  <c r="M450" i="12"/>
  <c r="N450" i="12"/>
  <c r="L451" i="12"/>
  <c r="M451" i="12"/>
  <c r="N451" i="12"/>
  <c r="L432" i="12"/>
  <c r="M432" i="12"/>
  <c r="N432" i="12"/>
  <c r="L458" i="12"/>
  <c r="M458" i="12"/>
  <c r="N458" i="12"/>
  <c r="L454" i="12"/>
  <c r="M454" i="12"/>
  <c r="N454" i="12"/>
  <c r="L455" i="12"/>
  <c r="M455" i="12"/>
  <c r="N455" i="12"/>
  <c r="L456" i="12"/>
  <c r="M456" i="12"/>
  <c r="N456" i="12"/>
  <c r="L453" i="12"/>
  <c r="M453" i="12"/>
  <c r="N453" i="12"/>
  <c r="L457" i="12"/>
  <c r="M457" i="12"/>
  <c r="N457" i="12"/>
  <c r="L446" i="12"/>
  <c r="M446" i="12"/>
  <c r="N446" i="12"/>
  <c r="L443" i="12"/>
  <c r="M443" i="12"/>
  <c r="N443" i="12"/>
  <c r="L444" i="12"/>
  <c r="M444" i="12"/>
  <c r="N444" i="12"/>
  <c r="L445" i="12"/>
  <c r="M445" i="12"/>
  <c r="N445" i="12"/>
  <c r="L441" i="12"/>
  <c r="M441" i="12"/>
  <c r="N441" i="12"/>
  <c r="L442" i="12"/>
  <c r="M442" i="12"/>
  <c r="N442" i="12"/>
  <c r="L447" i="12"/>
  <c r="M447" i="12"/>
  <c r="N447" i="12"/>
  <c r="L463" i="12"/>
  <c r="M463" i="12"/>
  <c r="N463" i="12"/>
  <c r="N439" i="12"/>
  <c r="M439" i="12"/>
  <c r="L439" i="12"/>
  <c r="L423" i="12"/>
  <c r="M423" i="12"/>
  <c r="N423" i="12"/>
  <c r="L424" i="12"/>
  <c r="M424" i="12"/>
  <c r="N424" i="12"/>
  <c r="L425" i="12"/>
  <c r="M425" i="12"/>
  <c r="N425" i="12"/>
  <c r="L426" i="12"/>
  <c r="M426" i="12"/>
  <c r="N426" i="12"/>
  <c r="L427" i="12"/>
  <c r="M427" i="12"/>
  <c r="N427" i="12"/>
  <c r="L428" i="12"/>
  <c r="M428" i="12"/>
  <c r="N428" i="12"/>
  <c r="L422" i="12"/>
  <c r="M422" i="12"/>
  <c r="N422" i="12"/>
  <c r="L394" i="12" l="1"/>
  <c r="M394" i="12"/>
  <c r="N394" i="12"/>
  <c r="L391" i="12"/>
  <c r="M391" i="12"/>
  <c r="N391" i="12"/>
  <c r="L392" i="12"/>
  <c r="M392" i="12"/>
  <c r="N392" i="12"/>
  <c r="L393" i="12"/>
  <c r="M393" i="12"/>
  <c r="N393" i="12"/>
  <c r="L395" i="12"/>
  <c r="M395" i="12"/>
  <c r="N395" i="12"/>
  <c r="L396" i="12"/>
  <c r="M396" i="12"/>
  <c r="N396" i="12"/>
  <c r="L397" i="12"/>
  <c r="M397" i="12"/>
  <c r="N397" i="12"/>
  <c r="L398" i="12"/>
  <c r="M398" i="12"/>
  <c r="N398" i="12"/>
  <c r="L399" i="12"/>
  <c r="M399" i="12"/>
  <c r="N399" i="12"/>
  <c r="L7" i="12" l="1"/>
  <c r="M7" i="12"/>
  <c r="N7" i="12"/>
  <c r="A31" i="8" l="1"/>
  <c r="A32" i="8"/>
  <c r="A33" i="8"/>
  <c r="A34" i="8"/>
  <c r="A35" i="8"/>
  <c r="L319" i="12"/>
  <c r="M319" i="12"/>
  <c r="N319" i="12"/>
  <c r="A24" i="8" l="1"/>
  <c r="A25" i="8"/>
  <c r="A26" i="8"/>
  <c r="A27" i="8"/>
  <c r="A28" i="8"/>
  <c r="A29" i="8"/>
  <c r="A30" i="8"/>
  <c r="A23" i="8"/>
  <c r="L410" i="12"/>
  <c r="M410" i="12"/>
  <c r="N410" i="12"/>
  <c r="L411" i="12"/>
  <c r="M411" i="12"/>
  <c r="N411" i="12"/>
  <c r="L412" i="12"/>
  <c r="M412" i="12"/>
  <c r="N412" i="12"/>
  <c r="L413" i="12"/>
  <c r="M413" i="12"/>
  <c r="N413" i="12"/>
  <c r="L414" i="12"/>
  <c r="M414" i="12"/>
  <c r="N414" i="12"/>
  <c r="L415" i="12"/>
  <c r="M415" i="12"/>
  <c r="N415" i="12"/>
  <c r="L416" i="12"/>
  <c r="M416" i="12"/>
  <c r="N416" i="12"/>
  <c r="L417" i="12"/>
  <c r="M417" i="12"/>
  <c r="N417" i="12"/>
  <c r="L418" i="12"/>
  <c r="M418" i="12"/>
  <c r="N418" i="12"/>
  <c r="L419" i="12"/>
  <c r="M419" i="12"/>
  <c r="N419" i="12"/>
  <c r="L420" i="12"/>
  <c r="M420" i="12"/>
  <c r="N420" i="12"/>
  <c r="L421" i="12"/>
  <c r="M421" i="12"/>
  <c r="N421" i="12"/>
  <c r="L406" i="12" l="1"/>
  <c r="M406" i="12"/>
  <c r="N406" i="12"/>
  <c r="L407" i="12"/>
  <c r="M407" i="12"/>
  <c r="N407" i="12"/>
  <c r="L405" i="12"/>
  <c r="M405" i="12"/>
  <c r="N405" i="12"/>
  <c r="L408" i="12"/>
  <c r="M408" i="12"/>
  <c r="N408" i="12"/>
  <c r="L400" i="12"/>
  <c r="M400" i="12"/>
  <c r="N400" i="12"/>
  <c r="L401" i="12"/>
  <c r="M401" i="12"/>
  <c r="N401" i="12"/>
  <c r="L402" i="12"/>
  <c r="M402" i="12"/>
  <c r="N402" i="12"/>
  <c r="L403" i="12"/>
  <c r="M403" i="12"/>
  <c r="N403" i="12"/>
  <c r="L404" i="12"/>
  <c r="M404" i="12"/>
  <c r="N404" i="12"/>
  <c r="L409" i="12"/>
  <c r="M409" i="12"/>
  <c r="N409" i="12"/>
  <c r="L378" i="12" l="1"/>
  <c r="M378" i="12"/>
  <c r="N378" i="12"/>
  <c r="L379" i="12"/>
  <c r="M379" i="12"/>
  <c r="N379" i="12"/>
  <c r="L380" i="12"/>
  <c r="M380" i="12"/>
  <c r="N380" i="12"/>
  <c r="L381" i="12"/>
  <c r="M381" i="12"/>
  <c r="N381" i="12"/>
  <c r="L127" i="12" l="1"/>
  <c r="M127" i="12"/>
  <c r="N127" i="12"/>
  <c r="L125" i="12"/>
  <c r="M125" i="12"/>
  <c r="N125" i="12"/>
  <c r="L315" i="12" l="1"/>
  <c r="M315" i="12"/>
  <c r="N315" i="12"/>
  <c r="L316" i="12"/>
  <c r="M316" i="12"/>
  <c r="N316" i="12"/>
  <c r="L377" i="12" l="1"/>
  <c r="M377" i="12"/>
  <c r="N377" i="12"/>
  <c r="L382" i="12"/>
  <c r="M382" i="12"/>
  <c r="N382" i="12"/>
  <c r="L383" i="12"/>
  <c r="M383" i="12"/>
  <c r="N383" i="12"/>
  <c r="L384" i="12"/>
  <c r="M384" i="12"/>
  <c r="N384" i="12"/>
  <c r="L385" i="12"/>
  <c r="M385" i="12"/>
  <c r="N385" i="12"/>
  <c r="L386" i="12"/>
  <c r="M386" i="12"/>
  <c r="N386" i="12"/>
  <c r="L387" i="12"/>
  <c r="M387" i="12"/>
  <c r="N387" i="12"/>
  <c r="L388" i="12"/>
  <c r="M388" i="12"/>
  <c r="N388" i="12"/>
  <c r="L389" i="12"/>
  <c r="M389" i="12"/>
  <c r="N389" i="12"/>
  <c r="L390" i="12"/>
  <c r="M390" i="12"/>
  <c r="N390" i="12"/>
  <c r="L97" i="12" l="1"/>
  <c r="M97" i="12"/>
  <c r="N97" i="12"/>
  <c r="L104" i="12" l="1"/>
  <c r="M104" i="12"/>
  <c r="N104" i="12"/>
  <c r="L437" i="12" l="1"/>
  <c r="L438" i="12"/>
  <c r="M437" i="12"/>
  <c r="M438" i="12"/>
  <c r="N437" i="12"/>
  <c r="N438" i="12"/>
  <c r="L436" i="12"/>
  <c r="M436" i="12"/>
  <c r="N436" i="12"/>
  <c r="L433" i="12"/>
  <c r="L434" i="12"/>
  <c r="L435" i="12"/>
  <c r="M433" i="12"/>
  <c r="M434" i="12"/>
  <c r="M435" i="12"/>
  <c r="N433" i="12"/>
  <c r="N434" i="12"/>
  <c r="N435" i="12"/>
  <c r="M65" i="12" l="1"/>
  <c r="N65" i="12"/>
  <c r="M66" i="12"/>
  <c r="N66" i="12"/>
  <c r="L65" i="12"/>
  <c r="L66" i="12"/>
  <c r="L67" i="12" l="1"/>
  <c r="M67" i="12"/>
  <c r="N67" i="12"/>
  <c r="L68" i="12"/>
  <c r="M68" i="12"/>
  <c r="N68" i="12"/>
  <c r="L69" i="12"/>
  <c r="M69" i="12"/>
  <c r="N69" i="12"/>
  <c r="L70" i="12"/>
  <c r="M70" i="12"/>
  <c r="N70" i="12"/>
  <c r="L96" i="12" l="1"/>
  <c r="M96" i="12"/>
  <c r="N96" i="12"/>
  <c r="L107" i="12"/>
  <c r="M107" i="12"/>
  <c r="N107" i="12"/>
  <c r="L108" i="12"/>
  <c r="M108" i="12"/>
  <c r="N108" i="12"/>
  <c r="L109" i="12"/>
  <c r="M109" i="12"/>
  <c r="N109" i="12"/>
  <c r="L110" i="12"/>
  <c r="M110" i="12"/>
  <c r="N110" i="12"/>
  <c r="L91" i="12"/>
  <c r="M91" i="12"/>
  <c r="N91" i="12"/>
  <c r="L92" i="12"/>
  <c r="M92" i="12"/>
  <c r="N92" i="12"/>
  <c r="L93" i="12"/>
  <c r="M93" i="12"/>
  <c r="N93" i="12"/>
  <c r="L94" i="12"/>
  <c r="M94" i="12"/>
  <c r="N94" i="12"/>
  <c r="L95" i="12"/>
  <c r="M95" i="12"/>
  <c r="N95" i="12"/>
  <c r="L89" i="12" l="1"/>
  <c r="M89" i="12"/>
  <c r="N89" i="12"/>
  <c r="L90" i="12"/>
  <c r="M90" i="12"/>
  <c r="N90" i="12"/>
  <c r="L98" i="12"/>
  <c r="M98" i="12"/>
  <c r="N98" i="12"/>
  <c r="L99" i="12"/>
  <c r="M99" i="12"/>
  <c r="N99" i="12"/>
  <c r="L100" i="12"/>
  <c r="M100" i="12"/>
  <c r="N100" i="12"/>
  <c r="L101" i="12"/>
  <c r="M101" i="12"/>
  <c r="N101" i="12"/>
  <c r="L102" i="12"/>
  <c r="M102" i="12"/>
  <c r="N102" i="12"/>
  <c r="L88" i="12"/>
  <c r="M88" i="12"/>
  <c r="N88" i="12"/>
  <c r="L83" i="12"/>
  <c r="M83" i="12"/>
  <c r="N83" i="12"/>
  <c r="L84" i="12"/>
  <c r="M84" i="12"/>
  <c r="N84" i="12"/>
  <c r="L85" i="12"/>
  <c r="M85" i="12"/>
  <c r="N85" i="12"/>
  <c r="L86" i="12"/>
  <c r="M86" i="12"/>
  <c r="N86" i="12"/>
  <c r="L87" i="12"/>
  <c r="M87" i="12"/>
  <c r="N87" i="12"/>
  <c r="L81" i="12"/>
  <c r="M81" i="12"/>
  <c r="N81" i="12"/>
  <c r="L82" i="12"/>
  <c r="M82" i="12"/>
  <c r="N82" i="12"/>
  <c r="L376" i="12" l="1"/>
  <c r="M376" i="12"/>
  <c r="N376" i="12"/>
  <c r="L368" i="12"/>
  <c r="L369" i="12"/>
  <c r="L370" i="12"/>
  <c r="L371" i="12"/>
  <c r="L372" i="12"/>
  <c r="L373" i="12"/>
  <c r="L374" i="12"/>
  <c r="L375" i="12"/>
  <c r="M368" i="12"/>
  <c r="M369" i="12"/>
  <c r="M370" i="12"/>
  <c r="M371" i="12"/>
  <c r="M372" i="12"/>
  <c r="M373" i="12"/>
  <c r="M374" i="12"/>
  <c r="M375" i="12"/>
  <c r="N368" i="12"/>
  <c r="N369" i="12"/>
  <c r="N370" i="12"/>
  <c r="N371" i="12"/>
  <c r="N372" i="12"/>
  <c r="N373" i="12"/>
  <c r="N374" i="12"/>
  <c r="N375" i="12"/>
  <c r="L356" i="12" l="1"/>
  <c r="M356" i="12"/>
  <c r="N356" i="12"/>
  <c r="L361" i="12"/>
  <c r="L362" i="12"/>
  <c r="L363" i="12"/>
  <c r="L364" i="12"/>
  <c r="L365" i="12"/>
  <c r="L366" i="12"/>
  <c r="L367" i="12"/>
  <c r="M361" i="12"/>
  <c r="M362" i="12"/>
  <c r="M363" i="12"/>
  <c r="M364" i="12"/>
  <c r="M365" i="12"/>
  <c r="M366" i="12"/>
  <c r="M367" i="12"/>
  <c r="N361" i="12"/>
  <c r="N362" i="12"/>
  <c r="N363" i="12"/>
  <c r="N364" i="12"/>
  <c r="N365" i="12"/>
  <c r="N366" i="12"/>
  <c r="N367" i="12"/>
  <c r="L116" i="12" l="1"/>
  <c r="M116" i="12"/>
  <c r="N116" i="12"/>
  <c r="L111" i="12"/>
  <c r="M111" i="12"/>
  <c r="N111" i="12"/>
  <c r="L112" i="12"/>
  <c r="M112" i="12"/>
  <c r="N112" i="12"/>
  <c r="L113" i="12"/>
  <c r="M113" i="12"/>
  <c r="N113" i="12"/>
  <c r="L114" i="12"/>
  <c r="M114" i="12"/>
  <c r="N114" i="12"/>
  <c r="L117" i="12"/>
  <c r="M117" i="12"/>
  <c r="N117" i="12"/>
  <c r="L118" i="12"/>
  <c r="M118" i="12"/>
  <c r="N118" i="12"/>
  <c r="L119" i="12"/>
  <c r="M119" i="12"/>
  <c r="N119" i="12"/>
  <c r="L103" i="12"/>
  <c r="M103" i="12"/>
  <c r="N103" i="12"/>
  <c r="L105" i="12"/>
  <c r="M105" i="12"/>
  <c r="N105" i="12"/>
  <c r="L106" i="12"/>
  <c r="M106" i="12"/>
  <c r="N106" i="12"/>
  <c r="L115" i="12"/>
  <c r="M115" i="12"/>
  <c r="N115" i="12"/>
  <c r="L120" i="12"/>
  <c r="M120" i="12"/>
  <c r="N120" i="12"/>
  <c r="L121" i="12"/>
  <c r="M121" i="12"/>
  <c r="N121" i="12"/>
  <c r="L122" i="12"/>
  <c r="M122" i="12"/>
  <c r="N122" i="12"/>
  <c r="L123" i="12"/>
  <c r="M123" i="12"/>
  <c r="N123" i="12"/>
  <c r="L353" i="12"/>
  <c r="L354" i="12"/>
  <c r="L355" i="12"/>
  <c r="L357" i="12"/>
  <c r="L358" i="12"/>
  <c r="L359" i="12"/>
  <c r="L360" i="12"/>
  <c r="M353" i="12"/>
  <c r="M354" i="12"/>
  <c r="M355" i="12"/>
  <c r="M357" i="12"/>
  <c r="M358" i="12"/>
  <c r="M359" i="12"/>
  <c r="M360" i="12"/>
  <c r="N353" i="12"/>
  <c r="N354" i="12"/>
  <c r="N355" i="12"/>
  <c r="N357" i="12"/>
  <c r="N358" i="12"/>
  <c r="N359" i="12"/>
  <c r="N360" i="12"/>
  <c r="L183" i="12" l="1"/>
  <c r="M183" i="12"/>
  <c r="N183" i="12"/>
  <c r="L71" i="12" l="1"/>
  <c r="M71" i="12"/>
  <c r="N71" i="12"/>
  <c r="L72" i="12"/>
  <c r="M72" i="12"/>
  <c r="N72" i="12"/>
  <c r="L73" i="12"/>
  <c r="M73" i="12"/>
  <c r="N73" i="12"/>
  <c r="L74" i="12"/>
  <c r="M74" i="12"/>
  <c r="N74" i="12"/>
  <c r="L75" i="12"/>
  <c r="M75" i="12"/>
  <c r="N75" i="12"/>
  <c r="L76" i="12"/>
  <c r="M76" i="12"/>
  <c r="N76" i="12"/>
  <c r="L77" i="12"/>
  <c r="M77" i="12"/>
  <c r="N77" i="12"/>
  <c r="L78" i="12"/>
  <c r="M78" i="12"/>
  <c r="N78" i="12"/>
  <c r="L79" i="12"/>
  <c r="M79" i="12"/>
  <c r="N79" i="12"/>
  <c r="L80" i="12"/>
  <c r="M80" i="12"/>
  <c r="N80" i="12"/>
  <c r="L59" i="12"/>
  <c r="M59" i="12"/>
  <c r="N59" i="12"/>
  <c r="L60" i="12"/>
  <c r="M60" i="12"/>
  <c r="N60" i="12"/>
  <c r="L61" i="12"/>
  <c r="M61" i="12"/>
  <c r="N61" i="12"/>
  <c r="L62" i="12"/>
  <c r="M62" i="12"/>
  <c r="N62" i="12"/>
  <c r="L63" i="12"/>
  <c r="M63" i="12"/>
  <c r="N63" i="12"/>
  <c r="L64" i="12"/>
  <c r="M64" i="12"/>
  <c r="N64" i="12"/>
  <c r="L46" i="12"/>
  <c r="M46" i="12"/>
  <c r="N46" i="12"/>
  <c r="L47" i="12"/>
  <c r="M47" i="12"/>
  <c r="N47" i="12"/>
  <c r="L48" i="12"/>
  <c r="M48" i="12"/>
  <c r="N48" i="12"/>
  <c r="L49" i="12"/>
  <c r="M49" i="12"/>
  <c r="N49" i="12"/>
  <c r="L50" i="12"/>
  <c r="M50" i="12"/>
  <c r="N50" i="12"/>
  <c r="L51" i="12"/>
  <c r="M51" i="12"/>
  <c r="N51" i="12"/>
  <c r="L52" i="12"/>
  <c r="M52" i="12"/>
  <c r="N52" i="12"/>
  <c r="L53" i="12"/>
  <c r="M53" i="12"/>
  <c r="N53" i="12"/>
  <c r="L54" i="12"/>
  <c r="M54" i="12"/>
  <c r="N54" i="12"/>
  <c r="L55" i="12" l="1"/>
  <c r="M55" i="12"/>
  <c r="N55" i="12"/>
  <c r="L56" i="12"/>
  <c r="M56" i="12"/>
  <c r="N56" i="12"/>
  <c r="L57" i="12"/>
  <c r="M57" i="12"/>
  <c r="N57" i="12"/>
  <c r="L58" i="12"/>
  <c r="M58" i="12"/>
  <c r="N58" i="12"/>
  <c r="L351" i="12" l="1"/>
  <c r="L352" i="12"/>
  <c r="M351" i="12"/>
  <c r="M352" i="12"/>
  <c r="N351" i="12"/>
  <c r="N352" i="12"/>
  <c r="L344" i="12"/>
  <c r="L345" i="12"/>
  <c r="L346" i="12"/>
  <c r="L347" i="12"/>
  <c r="L348" i="12"/>
  <c r="L349" i="12"/>
  <c r="L350" i="12"/>
  <c r="M344" i="12"/>
  <c r="M345" i="12"/>
  <c r="M346" i="12"/>
  <c r="M347" i="12"/>
  <c r="M348" i="12"/>
  <c r="M349" i="12"/>
  <c r="M350" i="12"/>
  <c r="N344" i="12"/>
  <c r="N345" i="12"/>
  <c r="N346" i="12"/>
  <c r="N347" i="12"/>
  <c r="N348" i="12"/>
  <c r="N349" i="12"/>
  <c r="N350" i="12"/>
  <c r="L343" i="12"/>
  <c r="M343" i="12"/>
  <c r="N343" i="12"/>
  <c r="L223" i="12" l="1"/>
  <c r="M223" i="12"/>
  <c r="N223" i="12"/>
  <c r="L222" i="12"/>
  <c r="M222" i="12"/>
  <c r="N222" i="12"/>
  <c r="L224" i="12"/>
  <c r="M224" i="12"/>
  <c r="N224" i="12"/>
  <c r="L225" i="12"/>
  <c r="M225" i="12"/>
  <c r="N225" i="12"/>
  <c r="L226" i="12"/>
  <c r="M226" i="12"/>
  <c r="N226" i="12"/>
  <c r="L227" i="12"/>
  <c r="M227" i="12"/>
  <c r="N227" i="12"/>
  <c r="L228" i="12"/>
  <c r="M228" i="12"/>
  <c r="N228" i="12"/>
  <c r="L229" i="12"/>
  <c r="M229" i="12"/>
  <c r="N229" i="12"/>
  <c r="L230" i="12"/>
  <c r="M230" i="12"/>
  <c r="N230" i="12"/>
  <c r="L231" i="12"/>
  <c r="M231" i="12"/>
  <c r="N231" i="12"/>
  <c r="L218" i="12"/>
  <c r="M218" i="12"/>
  <c r="N218" i="12"/>
  <c r="L219" i="12"/>
  <c r="M219" i="12"/>
  <c r="N219" i="12"/>
  <c r="L220" i="12"/>
  <c r="M220" i="12"/>
  <c r="N220" i="12"/>
  <c r="L216" i="12"/>
  <c r="M216" i="12"/>
  <c r="N216" i="12"/>
  <c r="L217" i="12"/>
  <c r="M217" i="12"/>
  <c r="N217" i="12"/>
  <c r="L221" i="12"/>
  <c r="M221" i="12"/>
  <c r="N221" i="12"/>
  <c r="L215" i="12"/>
  <c r="M215" i="12"/>
  <c r="N215" i="12"/>
  <c r="L300" i="12" l="1"/>
  <c r="M300" i="12"/>
  <c r="N300" i="12"/>
  <c r="L301" i="12"/>
  <c r="M301" i="12"/>
  <c r="N301" i="12"/>
  <c r="L296" i="12"/>
  <c r="M296" i="12"/>
  <c r="N296" i="12"/>
  <c r="L307" i="12"/>
  <c r="M307" i="12"/>
  <c r="N307" i="12"/>
  <c r="L308" i="12"/>
  <c r="M308" i="12"/>
  <c r="N308" i="12"/>
  <c r="L309" i="12"/>
  <c r="M309" i="12"/>
  <c r="N309" i="12"/>
  <c r="L310" i="12"/>
  <c r="M310" i="12"/>
  <c r="N310" i="12"/>
  <c r="L311" i="12"/>
  <c r="M311" i="12"/>
  <c r="N311" i="12"/>
  <c r="L312" i="12"/>
  <c r="M312" i="12"/>
  <c r="N312" i="12"/>
  <c r="L313" i="12"/>
  <c r="M313" i="12"/>
  <c r="N313" i="12"/>
  <c r="L294" i="12"/>
  <c r="M294" i="12"/>
  <c r="N294" i="12"/>
  <c r="L295" i="12"/>
  <c r="M295" i="12"/>
  <c r="N295" i="12"/>
  <c r="L297" i="12"/>
  <c r="M297" i="12"/>
  <c r="N297" i="12"/>
  <c r="L298" i="12"/>
  <c r="M298" i="12"/>
  <c r="N298" i="12"/>
  <c r="L299" i="12"/>
  <c r="M299" i="12"/>
  <c r="N299" i="12"/>
  <c r="L302" i="12"/>
  <c r="M302" i="12"/>
  <c r="N302" i="12"/>
  <c r="L303" i="12"/>
  <c r="M303" i="12"/>
  <c r="N303" i="12"/>
  <c r="L304" i="12"/>
  <c r="M304" i="12"/>
  <c r="N304" i="12"/>
  <c r="L305" i="12"/>
  <c r="M305" i="12"/>
  <c r="N305" i="12"/>
  <c r="L306" i="12"/>
  <c r="M306" i="12"/>
  <c r="N306" i="12"/>
  <c r="L206" i="12" l="1"/>
  <c r="M206" i="12"/>
  <c r="N206" i="12"/>
  <c r="L207" i="12"/>
  <c r="M207" i="12"/>
  <c r="N207" i="12"/>
  <c r="L208" i="12"/>
  <c r="M208" i="12"/>
  <c r="N208" i="12"/>
  <c r="L209" i="12"/>
  <c r="M209" i="12"/>
  <c r="N209" i="12"/>
  <c r="L210" i="12"/>
  <c r="M210" i="12"/>
  <c r="N210" i="12"/>
  <c r="L211" i="12"/>
  <c r="M211" i="12"/>
  <c r="N211" i="12"/>
  <c r="L212" i="12"/>
  <c r="M212" i="12"/>
  <c r="N212" i="12"/>
  <c r="L213" i="12"/>
  <c r="M213" i="12"/>
  <c r="N213" i="12"/>
  <c r="L214" i="12"/>
  <c r="M214" i="12"/>
  <c r="N214" i="12"/>
  <c r="L198" i="12"/>
  <c r="M198" i="12"/>
  <c r="N198" i="12"/>
  <c r="L199" i="12"/>
  <c r="M199" i="12"/>
  <c r="N199" i="12"/>
  <c r="L200" i="12"/>
  <c r="M200" i="12"/>
  <c r="N200" i="12"/>
  <c r="L201" i="12"/>
  <c r="M201" i="12"/>
  <c r="N201" i="12"/>
  <c r="L202" i="12"/>
  <c r="M202" i="12"/>
  <c r="N202" i="12"/>
  <c r="L197" i="12"/>
  <c r="M197" i="12"/>
  <c r="N197" i="12"/>
  <c r="L203" i="12"/>
  <c r="M203" i="12"/>
  <c r="N203" i="12"/>
  <c r="L204" i="12"/>
  <c r="M204" i="12"/>
  <c r="N204" i="12"/>
  <c r="L205" i="12"/>
  <c r="M205" i="12"/>
  <c r="N205" i="12"/>
  <c r="L187" i="12" l="1"/>
  <c r="M187" i="12"/>
  <c r="N187" i="12"/>
  <c r="L184" i="12"/>
  <c r="M184" i="12"/>
  <c r="N184" i="12"/>
  <c r="L182" i="12"/>
  <c r="M182" i="12"/>
  <c r="N182" i="12"/>
  <c r="L181" i="12"/>
  <c r="M181" i="12"/>
  <c r="N181" i="12"/>
  <c r="L185" i="12" l="1"/>
  <c r="M185" i="12"/>
  <c r="N185" i="12"/>
  <c r="L186" i="12"/>
  <c r="M186" i="12"/>
  <c r="N186" i="12"/>
  <c r="L188" i="12"/>
  <c r="M188" i="12"/>
  <c r="N188" i="12"/>
  <c r="L189" i="12"/>
  <c r="M189" i="12"/>
  <c r="N189" i="12"/>
  <c r="L180" i="12"/>
  <c r="M180" i="12"/>
  <c r="N180" i="12"/>
  <c r="L190" i="12"/>
  <c r="M190" i="12"/>
  <c r="N190" i="12"/>
  <c r="L191" i="12"/>
  <c r="M191" i="12"/>
  <c r="N191" i="12"/>
  <c r="L192" i="12"/>
  <c r="M192" i="12"/>
  <c r="N192" i="12"/>
  <c r="L193" i="12"/>
  <c r="M193" i="12"/>
  <c r="N193" i="12"/>
  <c r="L194" i="12"/>
  <c r="M194" i="12"/>
  <c r="N194" i="12"/>
  <c r="L195" i="12"/>
  <c r="M195" i="12"/>
  <c r="N195" i="12"/>
  <c r="L196" i="12"/>
  <c r="M196" i="12"/>
  <c r="N196" i="12"/>
  <c r="L174" i="12"/>
  <c r="M174" i="12"/>
  <c r="N174" i="12"/>
  <c r="L175" i="12"/>
  <c r="M175" i="12"/>
  <c r="N175" i="12"/>
  <c r="L176" i="12"/>
  <c r="M176" i="12"/>
  <c r="N176" i="12"/>
  <c r="L177" i="12"/>
  <c r="M177" i="12"/>
  <c r="N177" i="12"/>
  <c r="L178" i="12"/>
  <c r="M178" i="12"/>
  <c r="N178" i="12"/>
  <c r="L179" i="12"/>
  <c r="M179" i="12"/>
  <c r="N179" i="12"/>
  <c r="L167" i="12"/>
  <c r="M167" i="12"/>
  <c r="N167" i="12"/>
  <c r="L168" i="12"/>
  <c r="M168" i="12"/>
  <c r="N168" i="12"/>
  <c r="L169" i="12"/>
  <c r="M169" i="12"/>
  <c r="N169" i="12"/>
  <c r="L170" i="12"/>
  <c r="M170" i="12"/>
  <c r="N170" i="12"/>
  <c r="L171" i="12"/>
  <c r="M171" i="12"/>
  <c r="N171" i="12"/>
  <c r="L172" i="12"/>
  <c r="M172" i="12"/>
  <c r="N172" i="12"/>
  <c r="L173" i="12"/>
  <c r="M173" i="12"/>
  <c r="N173" i="12"/>
  <c r="L166" i="12"/>
  <c r="M166" i="12"/>
  <c r="N166" i="12"/>
  <c r="L335" i="12" l="1"/>
  <c r="M335" i="12"/>
  <c r="N335" i="12"/>
  <c r="L334" i="12" l="1"/>
  <c r="M334" i="12"/>
  <c r="N334" i="12"/>
  <c r="L336" i="12"/>
  <c r="M336" i="12"/>
  <c r="N336" i="12"/>
  <c r="L337" i="12"/>
  <c r="M337" i="12"/>
  <c r="N337" i="12"/>
  <c r="L338" i="12"/>
  <c r="M338" i="12"/>
  <c r="N338" i="12"/>
  <c r="L339" i="12"/>
  <c r="M339" i="12"/>
  <c r="N339" i="12"/>
  <c r="L340" i="12"/>
  <c r="M340" i="12"/>
  <c r="N340" i="12"/>
  <c r="L341" i="12"/>
  <c r="M341" i="12"/>
  <c r="N341" i="12"/>
  <c r="L342" i="12"/>
  <c r="M342" i="12"/>
  <c r="N342" i="12"/>
  <c r="L325" i="12"/>
  <c r="M325" i="12"/>
  <c r="N325" i="12"/>
  <c r="L326" i="12"/>
  <c r="M326" i="12"/>
  <c r="N326" i="12"/>
  <c r="L327" i="12"/>
  <c r="M327" i="12"/>
  <c r="N327" i="12"/>
  <c r="L328" i="12"/>
  <c r="M328" i="12"/>
  <c r="N328" i="12"/>
  <c r="L329" i="12"/>
  <c r="M329" i="12"/>
  <c r="N329" i="12"/>
  <c r="L330" i="12"/>
  <c r="M330" i="12"/>
  <c r="N330" i="12"/>
  <c r="L331" i="12"/>
  <c r="M331" i="12"/>
  <c r="N331" i="12"/>
  <c r="L332" i="12"/>
  <c r="M332" i="12"/>
  <c r="N332" i="12"/>
  <c r="L333" i="12"/>
  <c r="M333" i="12"/>
  <c r="N333" i="12"/>
  <c r="L314" i="12" l="1"/>
  <c r="M314" i="12"/>
  <c r="N314" i="12"/>
  <c r="L317" i="12"/>
  <c r="M317" i="12"/>
  <c r="N317" i="12"/>
  <c r="L318" i="12"/>
  <c r="M318" i="12"/>
  <c r="N318" i="12"/>
  <c r="L320" i="12"/>
  <c r="M320" i="12"/>
  <c r="N320" i="12"/>
  <c r="L321" i="12"/>
  <c r="M321" i="12"/>
  <c r="N321" i="12"/>
  <c r="L322" i="12"/>
  <c r="M322" i="12"/>
  <c r="N322" i="12"/>
  <c r="L323" i="12"/>
  <c r="M323" i="12"/>
  <c r="N323" i="12"/>
  <c r="L324" i="12"/>
  <c r="M324" i="12"/>
  <c r="N324" i="12"/>
  <c r="L284" i="12"/>
  <c r="M284" i="12"/>
  <c r="N284" i="12"/>
  <c r="L285" i="12"/>
  <c r="M285" i="12"/>
  <c r="N285" i="12"/>
  <c r="L286" i="12"/>
  <c r="M286" i="12"/>
  <c r="N286" i="12"/>
  <c r="L287" i="12"/>
  <c r="M287" i="12"/>
  <c r="N287" i="12"/>
  <c r="L288" i="12"/>
  <c r="M288" i="12"/>
  <c r="N288" i="12"/>
  <c r="L276" i="12"/>
  <c r="M276" i="12"/>
  <c r="N276" i="12"/>
  <c r="L277" i="12"/>
  <c r="M277" i="12"/>
  <c r="N277" i="12"/>
  <c r="L278" i="12"/>
  <c r="M278" i="12"/>
  <c r="N278" i="12"/>
  <c r="L279" i="12"/>
  <c r="M279" i="12"/>
  <c r="N279" i="12"/>
  <c r="L280" i="12"/>
  <c r="M280" i="12"/>
  <c r="N280" i="12"/>
  <c r="L281" i="12"/>
  <c r="M281" i="12"/>
  <c r="N281" i="12"/>
  <c r="L282" i="12"/>
  <c r="M282" i="12"/>
  <c r="N282" i="12"/>
  <c r="L283" i="12"/>
  <c r="M283" i="12"/>
  <c r="N283" i="12"/>
  <c r="L289" i="12"/>
  <c r="M289" i="12"/>
  <c r="N289" i="12"/>
  <c r="L290" i="12"/>
  <c r="M290" i="12"/>
  <c r="N290" i="12"/>
  <c r="L291" i="12"/>
  <c r="M291" i="12"/>
  <c r="N291" i="12"/>
  <c r="L292" i="12"/>
  <c r="M292" i="12"/>
  <c r="N292" i="12"/>
  <c r="L293" i="12"/>
  <c r="M293" i="12"/>
  <c r="N293" i="12"/>
  <c r="L263" i="12" l="1"/>
  <c r="M263" i="12"/>
  <c r="N263" i="12"/>
  <c r="L262" i="12"/>
  <c r="M262" i="12"/>
  <c r="N262" i="12"/>
  <c r="L261" i="12"/>
  <c r="M261" i="12"/>
  <c r="N261" i="12"/>
  <c r="L257" i="12"/>
  <c r="M257" i="12"/>
  <c r="N257" i="12"/>
  <c r="L258" i="12"/>
  <c r="M258" i="12"/>
  <c r="N258" i="12"/>
  <c r="L259" i="12"/>
  <c r="M259" i="12"/>
  <c r="N259" i="12"/>
  <c r="L260" i="12"/>
  <c r="M260" i="12"/>
  <c r="N260" i="12"/>
  <c r="L264" i="12"/>
  <c r="M264" i="12"/>
  <c r="N264" i="12"/>
  <c r="L265" i="12"/>
  <c r="M265" i="12"/>
  <c r="N265" i="12"/>
  <c r="L266" i="12"/>
  <c r="M266" i="12"/>
  <c r="N266" i="12"/>
  <c r="L267" i="12"/>
  <c r="M267" i="12"/>
  <c r="N267" i="12"/>
  <c r="L268" i="12"/>
  <c r="M268" i="12"/>
  <c r="N268" i="12"/>
  <c r="L269" i="12"/>
  <c r="M269" i="12"/>
  <c r="N269" i="12"/>
  <c r="L270" i="12"/>
  <c r="M270" i="12"/>
  <c r="N270" i="12"/>
  <c r="L271" i="12"/>
  <c r="M271" i="12"/>
  <c r="N271" i="12"/>
  <c r="L272" i="12"/>
  <c r="M272" i="12"/>
  <c r="N272" i="12"/>
  <c r="L273" i="12"/>
  <c r="M273" i="12"/>
  <c r="N273" i="12"/>
  <c r="L274" i="12"/>
  <c r="M274" i="12"/>
  <c r="N274" i="12"/>
  <c r="L275" i="12"/>
  <c r="M275" i="12"/>
  <c r="N275" i="12"/>
  <c r="L250" i="12" l="1"/>
  <c r="M250" i="12"/>
  <c r="N250" i="12"/>
  <c r="L255" i="12"/>
  <c r="M255" i="12"/>
  <c r="N255" i="12"/>
  <c r="L256" i="12"/>
  <c r="M256" i="12"/>
  <c r="N256" i="12"/>
  <c r="L249" i="12"/>
  <c r="M249" i="12"/>
  <c r="N249" i="12"/>
  <c r="L251" i="12"/>
  <c r="M251" i="12"/>
  <c r="N251" i="12"/>
  <c r="L252" i="12"/>
  <c r="M252" i="12"/>
  <c r="N252" i="12"/>
  <c r="L253" i="12"/>
  <c r="M253" i="12"/>
  <c r="N253" i="12"/>
  <c r="L254" i="12"/>
  <c r="M254" i="12"/>
  <c r="N254" i="12"/>
  <c r="L242" i="12"/>
  <c r="M242" i="12"/>
  <c r="N242" i="12"/>
  <c r="L243" i="12"/>
  <c r="M243" i="12"/>
  <c r="N243" i="12"/>
  <c r="L244" i="12"/>
  <c r="M244" i="12"/>
  <c r="N244" i="12"/>
  <c r="L245" i="12"/>
  <c r="M245" i="12"/>
  <c r="N245" i="12"/>
  <c r="L246" i="12"/>
  <c r="M246" i="12"/>
  <c r="N246" i="12"/>
  <c r="L247" i="12"/>
  <c r="M247" i="12"/>
  <c r="N247" i="12"/>
  <c r="L248" i="12"/>
  <c r="M248" i="12"/>
  <c r="N248" i="12"/>
  <c r="L16" i="12" l="1"/>
  <c r="M16" i="12"/>
  <c r="N16" i="12"/>
  <c r="L234" i="12" l="1"/>
  <c r="M234" i="12"/>
  <c r="N234" i="12"/>
  <c r="L25" i="12"/>
  <c r="M25" i="12"/>
  <c r="N25" i="12"/>
  <c r="L26" i="12"/>
  <c r="M26" i="12"/>
  <c r="N26" i="12"/>
  <c r="L27" i="12"/>
  <c r="M27" i="12"/>
  <c r="N27" i="12"/>
  <c r="L22" i="12"/>
  <c r="M22" i="12"/>
  <c r="N22" i="12"/>
  <c r="L23" i="12"/>
  <c r="M23" i="12"/>
  <c r="N23" i="12"/>
  <c r="L24" i="12"/>
  <c r="M24" i="12"/>
  <c r="N24" i="12"/>
  <c r="L21" i="12"/>
  <c r="M21" i="12"/>
  <c r="N21" i="12"/>
  <c r="L39" i="12"/>
  <c r="M39" i="12"/>
  <c r="N39" i="12"/>
  <c r="L30" i="12"/>
  <c r="M30" i="12"/>
  <c r="N30" i="12"/>
  <c r="J23" i="33" l="1"/>
  <c r="J22" i="33"/>
  <c r="J4" i="33"/>
  <c r="I5" i="33"/>
  <c r="I4" i="33"/>
  <c r="I23" i="33"/>
  <c r="I22" i="33"/>
  <c r="I17" i="33"/>
  <c r="I16" i="33"/>
  <c r="J5" i="33"/>
  <c r="J17" i="33"/>
  <c r="J16" i="33"/>
  <c r="I11" i="33"/>
  <c r="I10" i="33"/>
  <c r="J11" i="33" l="1"/>
  <c r="J10" i="33"/>
  <c r="M5" i="12"/>
  <c r="M6" i="12"/>
  <c r="M8" i="12"/>
  <c r="M9" i="12"/>
  <c r="M10" i="12"/>
  <c r="M11" i="12"/>
  <c r="M12" i="12"/>
  <c r="M13" i="12"/>
  <c r="M14" i="12"/>
  <c r="M15" i="12"/>
  <c r="M17" i="12"/>
  <c r="M18" i="12"/>
  <c r="M19" i="12"/>
  <c r="M20" i="12"/>
  <c r="M28" i="12"/>
  <c r="M29" i="12"/>
  <c r="M31" i="12"/>
  <c r="M32" i="12"/>
  <c r="M33" i="12"/>
  <c r="M34" i="12"/>
  <c r="M35" i="12"/>
  <c r="M36" i="12"/>
  <c r="M37" i="12"/>
  <c r="M38" i="12"/>
  <c r="M40" i="12"/>
  <c r="M41" i="12"/>
  <c r="M42" i="12"/>
  <c r="M43" i="12"/>
  <c r="M44" i="12"/>
  <c r="M45" i="12"/>
  <c r="M124" i="12"/>
  <c r="M126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232" i="12"/>
  <c r="M233" i="12"/>
  <c r="M235" i="12"/>
  <c r="M236" i="12"/>
  <c r="M237" i="12"/>
  <c r="M238" i="12"/>
  <c r="M239" i="12"/>
  <c r="M240" i="12"/>
  <c r="M241" i="12"/>
  <c r="M4" i="12"/>
  <c r="L159" i="12" l="1"/>
  <c r="L160" i="12"/>
  <c r="L161" i="12"/>
  <c r="L162" i="12"/>
  <c r="L163" i="12"/>
  <c r="L164" i="12"/>
  <c r="L165" i="12"/>
  <c r="L232" i="12"/>
  <c r="L233" i="12"/>
  <c r="L235" i="12"/>
  <c r="L236" i="12"/>
  <c r="L237" i="12"/>
  <c r="L238" i="12"/>
  <c r="L239" i="12"/>
  <c r="L240" i="12"/>
  <c r="L241" i="12"/>
  <c r="N159" i="12"/>
  <c r="N160" i="12"/>
  <c r="N161" i="12"/>
  <c r="N162" i="12"/>
  <c r="N163" i="12"/>
  <c r="N164" i="12"/>
  <c r="N165" i="12"/>
  <c r="N232" i="12"/>
  <c r="N233" i="12"/>
  <c r="N235" i="12"/>
  <c r="N236" i="12"/>
  <c r="N237" i="12"/>
  <c r="N238" i="12"/>
  <c r="N239" i="12"/>
  <c r="N240" i="12"/>
  <c r="N241" i="12"/>
  <c r="L13" i="12" l="1"/>
  <c r="N13" i="12"/>
  <c r="L14" i="12"/>
  <c r="N14" i="12"/>
  <c r="L15" i="12"/>
  <c r="N15" i="12"/>
  <c r="L17" i="12"/>
  <c r="N17" i="12"/>
  <c r="L18" i="12"/>
  <c r="N18" i="12"/>
  <c r="L19" i="12"/>
  <c r="N19" i="12"/>
  <c r="L20" i="12"/>
  <c r="N20" i="12"/>
  <c r="L6" i="12" l="1"/>
  <c r="N6" i="12"/>
  <c r="L148" i="12" l="1"/>
  <c r="L149" i="12"/>
  <c r="L150" i="12"/>
  <c r="L151" i="12"/>
  <c r="L152" i="12"/>
  <c r="L153" i="12"/>
  <c r="L154" i="12"/>
  <c r="L155" i="12"/>
  <c r="L156" i="12"/>
  <c r="L157" i="12"/>
  <c r="L158" i="12"/>
  <c r="N148" i="12"/>
  <c r="N149" i="12"/>
  <c r="N150" i="12"/>
  <c r="N151" i="12"/>
  <c r="N152" i="12"/>
  <c r="N153" i="12"/>
  <c r="N154" i="12"/>
  <c r="N155" i="12"/>
  <c r="N156" i="12"/>
  <c r="N157" i="12"/>
  <c r="N158" i="12"/>
  <c r="L133" i="12"/>
  <c r="N133" i="12"/>
  <c r="L134" i="12"/>
  <c r="N134" i="12"/>
  <c r="L135" i="12"/>
  <c r="N135" i="12"/>
  <c r="L136" i="12"/>
  <c r="N136" i="12"/>
  <c r="L137" i="12"/>
  <c r="N137" i="12"/>
  <c r="L138" i="12"/>
  <c r="N138" i="12"/>
  <c r="L139" i="12"/>
  <c r="N139" i="12"/>
  <c r="L126" i="12"/>
  <c r="N126" i="12"/>
  <c r="L128" i="12"/>
  <c r="N128" i="12"/>
  <c r="L129" i="12"/>
  <c r="N129" i="12"/>
  <c r="L130" i="12"/>
  <c r="N130" i="12"/>
  <c r="L131" i="12"/>
  <c r="N131" i="12"/>
  <c r="L132" i="12"/>
  <c r="N132" i="12"/>
  <c r="L124" i="12"/>
  <c r="N124" i="12"/>
  <c r="L141" i="12"/>
  <c r="N141" i="12"/>
  <c r="N28" i="12"/>
  <c r="L28" i="12"/>
  <c r="L37" i="12"/>
  <c r="N37" i="12"/>
  <c r="L40" i="12"/>
  <c r="N40" i="12"/>
  <c r="L41" i="12"/>
  <c r="N41" i="12"/>
  <c r="L38" i="12"/>
  <c r="N38" i="12"/>
  <c r="L42" i="12"/>
  <c r="N42" i="12"/>
  <c r="L43" i="12"/>
  <c r="N43" i="12"/>
  <c r="L44" i="12"/>
  <c r="N44" i="12"/>
  <c r="L45" i="12"/>
  <c r="N45" i="12"/>
  <c r="L31" i="12" l="1"/>
  <c r="N31" i="12"/>
  <c r="L32" i="12"/>
  <c r="N32" i="12"/>
  <c r="L33" i="12"/>
  <c r="N33" i="12"/>
  <c r="L29" i="12"/>
  <c r="N29" i="12"/>
  <c r="L34" i="12"/>
  <c r="N34" i="12"/>
  <c r="L35" i="12"/>
  <c r="N35" i="12"/>
  <c r="L36" i="12"/>
  <c r="N36" i="12"/>
  <c r="N4" i="12" l="1"/>
  <c r="N5" i="12"/>
  <c r="N8" i="12"/>
  <c r="N9" i="12"/>
  <c r="N10" i="12"/>
  <c r="N11" i="12"/>
  <c r="N12" i="12"/>
  <c r="N140" i="12"/>
  <c r="N142" i="12"/>
  <c r="N143" i="12"/>
  <c r="N144" i="12"/>
  <c r="N145" i="12"/>
  <c r="N146" i="12"/>
  <c r="N147" i="12"/>
  <c r="L4" i="12"/>
  <c r="L5" i="12"/>
  <c r="L8" i="12"/>
  <c r="L9" i="12"/>
  <c r="L10" i="12"/>
  <c r="L11" i="12"/>
  <c r="L12" i="12"/>
  <c r="L140" i="12"/>
  <c r="L142" i="12"/>
  <c r="L143" i="12"/>
  <c r="L144" i="12"/>
  <c r="L145" i="12"/>
  <c r="L146" i="12"/>
  <c r="L147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dioListSample" type="4" refreshedVersion="0" background="1">
    <webPr xml="1" sourceData="1" parsePre="1" consecutive="1" url="D:\Users\06006791\Desktop\RadioListSample.xml" htmlTables="1"/>
  </connection>
  <connection id="2" xr16:uid="{00000000-0015-0000-FFFF-FFFF01000000}" name="RadioListSample1" type="4" refreshedVersion="0" background="1">
    <webPr xml="1" sourceData="1" parsePre="1" consecutive="1" url="D:\Users\06006791\Desktop\RadioListSample.xml" htmlTables="1"/>
  </connection>
  <connection id="3" xr16:uid="{00000000-0015-0000-FFFF-FFFF02000000}" keepAlive="1" name="ThisWorkbookDataModel" description="資料模型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00000000-0015-0000-FFFF-FFFF03000000}" name="WorksheetConnection_表格定義書.xlsx![pa_device]表格" type="102" refreshedVersion="6" minRefreshableVersion="5">
    <extLst>
      <ext xmlns:x15="http://schemas.microsoft.com/office/spreadsheetml/2010/11/main" uri="{DE250136-89BD-433C-8126-D09CA5730AF9}">
        <x15:connection id="pa_device 表格">
          <x15:rangePr sourceName="_xlcn.WorksheetConnection_表格定義書.xlsxpa_device表格1"/>
        </x15:connection>
      </ext>
    </extLst>
  </connection>
  <connection id="5" xr16:uid="{00000000-0015-0000-FFFF-FFFF04000000}" name="WorksheetConnection_表格定義書.xlsx![sys_station_area]表格" type="102" refreshedVersion="6" minRefreshableVersion="5">
    <extLst>
      <ext xmlns:x15="http://schemas.microsoft.com/office/spreadsheetml/2010/11/main" uri="{DE250136-89BD-433C-8126-D09CA5730AF9}">
        <x15:connection id="sys_station_area 表格">
          <x15:rangePr sourceName="_xlcn.WorksheetConnection_表格定義書.xlsxsys_station_area表格1"/>
        </x15:connection>
      </ext>
    </extLst>
  </connection>
</connections>
</file>

<file path=xl/sharedStrings.xml><?xml version="1.0" encoding="utf-8"?>
<sst xmlns="http://schemas.openxmlformats.org/spreadsheetml/2006/main" count="4277" uniqueCount="1207">
  <si>
    <t>character varying</t>
  </si>
  <si>
    <t>ins_user</t>
  </si>
  <si>
    <t>資料新增人員</t>
  </si>
  <si>
    <t>ins_time</t>
  </si>
  <si>
    <t>資料新增時間</t>
  </si>
  <si>
    <t>timestamp without time zone</t>
  </si>
  <si>
    <t>upd_user</t>
  </si>
  <si>
    <t>資料修改人員</t>
  </si>
  <si>
    <t>upd_time</t>
  </si>
  <si>
    <t>資料修改時間</t>
  </si>
  <si>
    <t>role_id</t>
  </si>
  <si>
    <t>cmft_role</t>
  </si>
  <si>
    <t>description</t>
  </si>
  <si>
    <t>描述</t>
  </si>
  <si>
    <t>text</t>
  </si>
  <si>
    <t>使用者密碼</t>
  </si>
  <si>
    <t>is_enable</t>
  </si>
  <si>
    <t>是否啟用</t>
  </si>
  <si>
    <t>System</t>
    <phoneticPr fontId="1" type="noConversion"/>
  </si>
  <si>
    <t>CMFT</t>
  </si>
  <si>
    <t>備註</t>
  </si>
  <si>
    <t>sys_config</t>
    <phoneticPr fontId="1" type="noConversion"/>
  </si>
  <si>
    <t>空值</t>
    <phoneticPr fontId="1" type="noConversion"/>
  </si>
  <si>
    <t>類名前綴</t>
    <phoneticPr fontId="1" type="noConversion"/>
  </si>
  <si>
    <t>remark</t>
  </si>
  <si>
    <t>config_value</t>
  </si>
  <si>
    <t>PK</t>
  </si>
  <si>
    <t>PK</t>
    <phoneticPr fontId="1" type="noConversion"/>
  </si>
  <si>
    <t>FK</t>
    <phoneticPr fontId="1" type="noConversion"/>
  </si>
  <si>
    <t>屬性名前綴</t>
    <phoneticPr fontId="1" type="noConversion"/>
  </si>
  <si>
    <t>integer</t>
    <phoneticPr fontId="1" type="noConversion"/>
  </si>
  <si>
    <t>int</t>
    <phoneticPr fontId="1" type="noConversion"/>
  </si>
  <si>
    <t>N</t>
  </si>
  <si>
    <t>N</t>
    <phoneticPr fontId="1" type="noConversion"/>
  </si>
  <si>
    <t>Y</t>
  </si>
  <si>
    <t>Y</t>
    <phoneticPr fontId="1" type="noConversion"/>
  </si>
  <si>
    <t>System</t>
  </si>
  <si>
    <t>sys_config</t>
  </si>
  <si>
    <t>config_name</t>
  </si>
  <si>
    <t>角色識別代碼</t>
  </si>
  <si>
    <t>sys_config</t>
    <phoneticPr fontId="1" type="noConversion"/>
  </si>
  <si>
    <t>character varying</t>
    <phoneticPr fontId="1" type="noConversion"/>
  </si>
  <si>
    <t>角色名稱</t>
  </si>
  <si>
    <t>role_name</t>
  </si>
  <si>
    <t>cmft_role_auth</t>
  </si>
  <si>
    <t>using</t>
    <phoneticPr fontId="1" type="noConversion"/>
  </si>
  <si>
    <t>remain_count</t>
    <phoneticPr fontId="1" type="noConversion"/>
  </si>
  <si>
    <t>剩餘次數</t>
    <phoneticPr fontId="1" type="noConversion"/>
  </si>
  <si>
    <t>N</t>
    <phoneticPr fontId="1" type="noConversion"/>
  </si>
  <si>
    <t>登入失敗剩餘次數</t>
    <phoneticPr fontId="1" type="noConversion"/>
  </si>
  <si>
    <t>cmft_role</t>
    <phoneticPr fontId="1" type="noConversion"/>
  </si>
  <si>
    <t>cmft_role_auth</t>
    <phoneticPr fontId="1" type="noConversion"/>
  </si>
  <si>
    <t>role_id</t>
    <phoneticPr fontId="1" type="noConversion"/>
  </si>
  <si>
    <t>boolean</t>
    <phoneticPr fontId="1" type="noConversion"/>
  </si>
  <si>
    <t>bool</t>
    <phoneticPr fontId="1" type="noConversion"/>
  </si>
  <si>
    <t>smallint</t>
    <phoneticPr fontId="1" type="noConversion"/>
  </si>
  <si>
    <t>short</t>
    <phoneticPr fontId="1" type="noConversion"/>
  </si>
  <si>
    <t>bigint</t>
    <phoneticPr fontId="1" type="noConversion"/>
  </si>
  <si>
    <t>real</t>
  </si>
  <si>
    <t>float</t>
  </si>
  <si>
    <t>double</t>
  </si>
  <si>
    <t>double precision</t>
  </si>
  <si>
    <t>numeric</t>
  </si>
  <si>
    <t>decimal</t>
  </si>
  <si>
    <t>money</t>
  </si>
  <si>
    <t>string</t>
  </si>
  <si>
    <t>character</t>
  </si>
  <si>
    <t>citext</t>
  </si>
  <si>
    <t>json</t>
  </si>
  <si>
    <t>jsonb</t>
  </si>
  <si>
    <t>xml</t>
  </si>
  <si>
    <t>uuid</t>
  </si>
  <si>
    <t>Guid</t>
  </si>
  <si>
    <t>bytea</t>
  </si>
  <si>
    <t>byte[]</t>
  </si>
  <si>
    <t>DateTime</t>
    <phoneticPr fontId="1" type="noConversion"/>
  </si>
  <si>
    <t>text</t>
    <phoneticPr fontId="1" type="noConversion"/>
  </si>
  <si>
    <t>timestamp without time zone</t>
    <phoneticPr fontId="1" type="noConversion"/>
  </si>
  <si>
    <t>allow_browsing</t>
    <phoneticPr fontId="1" type="noConversion"/>
  </si>
  <si>
    <t>allow_setting</t>
    <phoneticPr fontId="1" type="noConversion"/>
  </si>
  <si>
    <t>是否可瀏覽</t>
    <phoneticPr fontId="1" type="noConversion"/>
  </si>
  <si>
    <t>是否可設定</t>
    <phoneticPr fontId="1" type="noConversion"/>
  </si>
  <si>
    <t>角色識別代碼</t>
    <phoneticPr fontId="1" type="noConversion"/>
  </si>
  <si>
    <t>使用者姓名</t>
    <phoneticPr fontId="1" type="noConversion"/>
  </si>
  <si>
    <t>使用者單位</t>
    <phoneticPr fontId="1" type="noConversion"/>
  </si>
  <si>
    <t>使用者帳號</t>
    <phoneticPr fontId="1" type="noConversion"/>
  </si>
  <si>
    <t>namespace</t>
    <phoneticPr fontId="1" type="noConversion"/>
  </si>
  <si>
    <t>CMFTClientCore.Models</t>
    <phoneticPr fontId="1" type="noConversion"/>
  </si>
  <si>
    <t>log_id</t>
  </si>
  <si>
    <t>事件紀錄編號</t>
  </si>
  <si>
    <t>事件紀錄內容</t>
  </si>
  <si>
    <t>操作人員</t>
  </si>
  <si>
    <t>sys_oper_log</t>
    <phoneticPr fontId="1" type="noConversion"/>
  </si>
  <si>
    <t>sys_oper_log_history</t>
    <phoneticPr fontId="1" type="noConversion"/>
  </si>
  <si>
    <t>sys_oper_log_history</t>
    <phoneticPr fontId="1" type="noConversion"/>
  </si>
  <si>
    <t>log_content</t>
    <phoneticPr fontId="1" type="noConversion"/>
  </si>
  <si>
    <t>操作識別代碼</t>
    <phoneticPr fontId="1" type="noConversion"/>
  </si>
  <si>
    <t>oper_id</t>
    <phoneticPr fontId="1" type="noConversion"/>
  </si>
  <si>
    <t>func_name</t>
    <phoneticPr fontId="1" type="noConversion"/>
  </si>
  <si>
    <t>log_id</t>
    <phoneticPr fontId="1" type="noConversion"/>
  </si>
  <si>
    <t>boolean</t>
  </si>
  <si>
    <t>操作功能識別代碼</t>
    <phoneticPr fontId="1" type="noConversion"/>
  </si>
  <si>
    <t>N</t>
    <phoneticPr fontId="1" type="noConversion"/>
  </si>
  <si>
    <t>功能名稱</t>
    <phoneticPr fontId="1" type="noConversion"/>
  </si>
  <si>
    <t>cmft_oper</t>
  </si>
  <si>
    <t>cmft_oper</t>
    <phoneticPr fontId="1" type="noConversion"/>
  </si>
  <si>
    <t>cmft_account</t>
  </si>
  <si>
    <t>cmft_account</t>
    <phoneticPr fontId="1" type="noConversion"/>
  </si>
  <si>
    <t>account_id</t>
    <phoneticPr fontId="1" type="noConversion"/>
  </si>
  <si>
    <t>account_name</t>
    <phoneticPr fontId="1" type="noConversion"/>
  </si>
  <si>
    <t>account_password</t>
    <phoneticPr fontId="1" type="noConversion"/>
  </si>
  <si>
    <t>account_department</t>
    <phoneticPr fontId="1" type="noConversion"/>
  </si>
  <si>
    <t>CMFT角色列表</t>
    <phoneticPr fontId="1" type="noConversion"/>
  </si>
  <si>
    <t>CMFT帳號列表</t>
    <phoneticPr fontId="1" type="noConversion"/>
  </si>
  <si>
    <t>PK</t>
    <phoneticPr fontId="1" type="noConversion"/>
  </si>
  <si>
    <t>config_description</t>
    <phoneticPr fontId="1" type="noConversion"/>
  </si>
  <si>
    <t>系統參數說明</t>
    <phoneticPr fontId="1" type="noConversion"/>
  </si>
  <si>
    <t>sys_station</t>
  </si>
  <si>
    <t>station_id</t>
  </si>
  <si>
    <t>station_name</t>
  </si>
  <si>
    <t>station_name_eng</t>
    <phoneticPr fontId="1" type="noConversion"/>
  </si>
  <si>
    <t>車站名稱</t>
    <phoneticPr fontId="1" type="noConversion"/>
  </si>
  <si>
    <t>資料新增人員</t>
    <phoneticPr fontId="1" type="noConversion"/>
  </si>
  <si>
    <t>車站英文名稱</t>
    <phoneticPr fontId="1" type="noConversion"/>
  </si>
  <si>
    <t>text</t>
    <phoneticPr fontId="1" type="noConversion"/>
  </si>
  <si>
    <t>車站列表</t>
    <phoneticPr fontId="1" type="noConversion"/>
  </si>
  <si>
    <t>device_id</t>
  </si>
  <si>
    <t>device_name</t>
  </si>
  <si>
    <t>device_status</t>
  </si>
  <si>
    <t>設備狀態</t>
  </si>
  <si>
    <t>integer</t>
  </si>
  <si>
    <t>PA</t>
  </si>
  <si>
    <t>DLTS</t>
  </si>
  <si>
    <t>DMD</t>
  </si>
  <si>
    <t>CCTV</t>
  </si>
  <si>
    <t>sys_station</t>
    <phoneticPr fontId="1" type="noConversion"/>
  </si>
  <si>
    <t>sys_config</t>
    <phoneticPr fontId="1" type="noConversion"/>
  </si>
  <si>
    <t>sys_station</t>
    <phoneticPr fontId="1" type="noConversion"/>
  </si>
  <si>
    <t>通訊光纖傳輸系統</t>
  </si>
  <si>
    <t>車站編號</t>
    <phoneticPr fontId="1" type="noConversion"/>
  </si>
  <si>
    <t>系統參數名稱</t>
    <phoneticPr fontId="1" type="noConversion"/>
  </si>
  <si>
    <t>系統參數值</t>
    <phoneticPr fontId="1" type="noConversion"/>
  </si>
  <si>
    <t>delete sql</t>
  </si>
  <si>
    <t>insert sql</t>
  </si>
  <si>
    <t>LG02</t>
  </si>
  <si>
    <t>LG03</t>
  </si>
  <si>
    <t>LG04</t>
  </si>
  <si>
    <t>LG05</t>
  </si>
  <si>
    <t>LG06</t>
  </si>
  <si>
    <t>LG07</t>
  </si>
  <si>
    <t>LG08A</t>
  </si>
  <si>
    <t>OTCSTetra</t>
  </si>
  <si>
    <t>Sync</t>
  </si>
  <si>
    <t>Overview</t>
  </si>
  <si>
    <t>狀態總覽</t>
  </si>
  <si>
    <t>廣播</t>
  </si>
  <si>
    <t>車站點矩陣</t>
  </si>
  <si>
    <t>直線電</t>
  </si>
  <si>
    <t>閉路電視</t>
  </si>
  <si>
    <t>系統</t>
  </si>
  <si>
    <t>資料表名稱(英)</t>
    <phoneticPr fontId="1" type="noConversion"/>
  </si>
  <si>
    <t>備註</t>
    <phoneticPr fontId="1" type="noConversion"/>
  </si>
  <si>
    <t>欄位序號</t>
    <phoneticPr fontId="1" type="noConversion"/>
  </si>
  <si>
    <t>類名</t>
    <phoneticPr fontId="3" type="noConversion"/>
  </si>
  <si>
    <t>表名</t>
    <phoneticPr fontId="1" type="noConversion"/>
  </si>
  <si>
    <t>欄位名稱(英)</t>
    <phoneticPr fontId="1" type="noConversion"/>
  </si>
  <si>
    <t>欄位名稱(中)</t>
    <phoneticPr fontId="1" type="noConversion"/>
  </si>
  <si>
    <t>長度</t>
    <phoneticPr fontId="1" type="noConversion"/>
  </si>
  <si>
    <t>設定(PK/FK)</t>
    <phoneticPr fontId="1" type="noConversion"/>
  </si>
  <si>
    <t>資料表序號</t>
    <phoneticPr fontId="1" type="noConversion"/>
  </si>
  <si>
    <t>畫面名稱</t>
    <phoneticPr fontId="1" type="noConversion"/>
  </si>
  <si>
    <t>CMFT功能列表</t>
    <phoneticPr fontId="1" type="noConversion"/>
  </si>
  <si>
    <t>資料表名稱(中)</t>
    <phoneticPr fontId="1" type="noConversion"/>
  </si>
  <si>
    <t>設備編號</t>
    <phoneticPr fontId="1" type="noConversion"/>
  </si>
  <si>
    <t>系統設定列表</t>
    <phoneticPr fontId="1" type="noConversion"/>
  </si>
  <si>
    <t>使用者操作紀錄列表</t>
    <phoneticPr fontId="1" type="noConversion"/>
  </si>
  <si>
    <t>CMFT角色操作權限設定列表</t>
    <phoneticPr fontId="1" type="noConversion"/>
  </si>
  <si>
    <t>cmft_oper</t>
    <phoneticPr fontId="1" type="noConversion"/>
  </si>
  <si>
    <t>廣播系統</t>
  </si>
  <si>
    <t>數位無線電系統</t>
  </si>
  <si>
    <t>直線電話系統</t>
  </si>
  <si>
    <t>時鐘系統</t>
  </si>
  <si>
    <t>資料表(Postgre)</t>
    <phoneticPr fontId="1" type="noConversion"/>
  </si>
  <si>
    <t>模型(C#)</t>
    <phoneticPr fontId="3" type="noConversion"/>
  </si>
  <si>
    <t>long2</t>
    <phoneticPr fontId="1" type="noConversion"/>
  </si>
  <si>
    <t>屬性類型(Postgre)</t>
    <phoneticPr fontId="1" type="noConversion"/>
  </si>
  <si>
    <t>屬性名(Csharp)</t>
    <phoneticPr fontId="3" type="noConversion"/>
  </si>
  <si>
    <t>admin</t>
    <phoneticPr fontId="1" type="noConversion"/>
  </si>
  <si>
    <t>clock_timestamp()</t>
    <phoneticPr fontId="1" type="noConversion"/>
  </si>
  <si>
    <t>資料表一覽</t>
    <phoneticPr fontId="1" type="noConversion"/>
  </si>
  <si>
    <t>資料表詳細</t>
    <phoneticPr fontId="1" type="noConversion"/>
  </si>
  <si>
    <t>欄位名(中)1</t>
    <phoneticPr fontId="1" type="noConversion"/>
  </si>
  <si>
    <t>欄位名(中)2</t>
  </si>
  <si>
    <t>欄位名(中)3</t>
  </si>
  <si>
    <t>欄位名(中)4</t>
  </si>
  <si>
    <t>欄位名(英)2</t>
  </si>
  <si>
    <t>欄位名(英)3</t>
  </si>
  <si>
    <t>欄位名(英)4</t>
  </si>
  <si>
    <t>[PK]欄位名(英)1</t>
    <phoneticPr fontId="1" type="noConversion"/>
  </si>
  <si>
    <t>設備編號</t>
    <phoneticPr fontId="1" type="noConversion"/>
  </si>
  <si>
    <t>設備名稱</t>
    <phoneticPr fontId="1" type="noConversion"/>
  </si>
  <si>
    <t>[PK]欄位名(英)1</t>
  </si>
  <si>
    <t>欄位名(中)1</t>
  </si>
  <si>
    <t>欄位名(中)5</t>
  </si>
  <si>
    <t>欄位名(英)5</t>
  </si>
  <si>
    <t>欄位名(英)6</t>
  </si>
  <si>
    <t>欄位名(中)6</t>
  </si>
  <si>
    <t>表格名稱4</t>
    <phoneticPr fontId="1" type="noConversion"/>
  </si>
  <si>
    <t>表格名稱5</t>
    <phoneticPr fontId="1" type="noConversion"/>
  </si>
  <si>
    <t>表格名稱6</t>
    <phoneticPr fontId="1" type="noConversion"/>
  </si>
  <si>
    <t>表格名稱3</t>
    <phoneticPr fontId="1" type="noConversion"/>
  </si>
  <si>
    <t>屬性類型(C#)</t>
    <phoneticPr fontId="1" type="noConversion"/>
  </si>
  <si>
    <t>using System;
using System.ComponentModel.DataAnnotations;</t>
    <phoneticPr fontId="1" type="noConversion"/>
  </si>
  <si>
    <t>sys_station_area</t>
  </si>
  <si>
    <t>車站區域列表</t>
    <phoneticPr fontId="1" type="noConversion"/>
  </si>
  <si>
    <t>必須不依賴ID,萬一腳色被刪除仍可查找</t>
    <phoneticPr fontId="1" type="noConversion"/>
  </si>
  <si>
    <t>車站編號</t>
  </si>
  <si>
    <t>area_id</t>
  </si>
  <si>
    <t>area_name</t>
  </si>
  <si>
    <t>車站區域名稱</t>
  </si>
  <si>
    <t>sys_station_area</t>
    <phoneticPr fontId="1" type="noConversion"/>
  </si>
  <si>
    <t>area_id</t>
    <phoneticPr fontId="1" type="noConversion"/>
  </si>
  <si>
    <t>area_name</t>
    <phoneticPr fontId="4" type="noConversion"/>
  </si>
  <si>
    <t>上行月台</t>
  </si>
  <si>
    <t>下行月台</t>
  </si>
  <si>
    <t>area_id</t>
    <phoneticPr fontId="1" type="noConversion"/>
  </si>
  <si>
    <t>裝設車站編號</t>
  </si>
  <si>
    <t>裝設車站編號</t>
    <phoneticPr fontId="1" type="noConversion"/>
  </si>
  <si>
    <t>車站區域編號</t>
    <phoneticPr fontId="1" type="noConversion"/>
  </si>
  <si>
    <t>裝設車站區域編號</t>
    <phoneticPr fontId="1" type="noConversion"/>
  </si>
  <si>
    <t>區域名稱</t>
    <phoneticPr fontId="1" type="noConversion"/>
  </si>
  <si>
    <t>通訊號誌設備室</t>
  </si>
  <si>
    <t>remark</t>
    <phoneticPr fontId="1" type="noConversion"/>
  </si>
  <si>
    <t>dmd_group</t>
    <phoneticPr fontId="1" type="noConversion"/>
  </si>
  <si>
    <t>點矩陣群組設定</t>
    <phoneticPr fontId="1" type="noConversion"/>
  </si>
  <si>
    <t>dmd_group</t>
    <phoneticPr fontId="1" type="noConversion"/>
  </si>
  <si>
    <t>group_id</t>
  </si>
  <si>
    <t>group_name</t>
  </si>
  <si>
    <t>群組編號</t>
  </si>
  <si>
    <t>群組名稱</t>
  </si>
  <si>
    <t>group_description</t>
    <phoneticPr fontId="1" type="noConversion"/>
  </si>
  <si>
    <t>群組說明</t>
    <phoneticPr fontId="1" type="noConversion"/>
  </si>
  <si>
    <t>dmd_pre_record_message</t>
  </si>
  <si>
    <t>點矩陣預錄訊息列表</t>
    <phoneticPr fontId="1" type="noConversion"/>
  </si>
  <si>
    <t>message_id</t>
  </si>
  <si>
    <t>message_name</t>
  </si>
  <si>
    <t>message_type</t>
  </si>
  <si>
    <t>message_content</t>
  </si>
  <si>
    <t>font_size</t>
  </si>
  <si>
    <t>message_content_en</t>
  </si>
  <si>
    <t>font_size_en</t>
  </si>
  <si>
    <t>move_mode</t>
  </si>
  <si>
    <t>move_speed</t>
  </si>
  <si>
    <t>Interval</t>
  </si>
  <si>
    <t>font_type</t>
    <phoneticPr fontId="1" type="noConversion"/>
  </si>
  <si>
    <t>font_color</t>
    <phoneticPr fontId="1" type="noConversion"/>
  </si>
  <si>
    <t>font_color_en</t>
    <phoneticPr fontId="1" type="noConversion"/>
  </si>
  <si>
    <t>訊息編號</t>
  </si>
  <si>
    <t>訊息名稱</t>
  </si>
  <si>
    <t>訊息類別</t>
  </si>
  <si>
    <t>優先等級</t>
  </si>
  <si>
    <t>移動方式</t>
  </si>
  <si>
    <t>移動速度</t>
  </si>
  <si>
    <t>暫停時間</t>
  </si>
  <si>
    <t>中文字型</t>
    <phoneticPr fontId="1" type="noConversion"/>
  </si>
  <si>
    <t>中文大小</t>
    <phoneticPr fontId="1" type="noConversion"/>
  </si>
  <si>
    <t>中文顏色</t>
    <phoneticPr fontId="1" type="noConversion"/>
  </si>
  <si>
    <t>英文訊息內容</t>
    <phoneticPr fontId="1" type="noConversion"/>
  </si>
  <si>
    <t>中文訊息內容</t>
    <phoneticPr fontId="1" type="noConversion"/>
  </si>
  <si>
    <t>英文字型</t>
    <phoneticPr fontId="1" type="noConversion"/>
  </si>
  <si>
    <t>英文大小</t>
    <phoneticPr fontId="1" type="noConversion"/>
  </si>
  <si>
    <t>英文顏色</t>
    <phoneticPr fontId="1" type="noConversion"/>
  </si>
  <si>
    <t>message_priority</t>
    <phoneticPr fontId="1" type="noConversion"/>
  </si>
  <si>
    <t>font_type_en</t>
    <phoneticPr fontId="1" type="noConversion"/>
  </si>
  <si>
    <t>1:小; 2:中; 3:大</t>
    <phoneticPr fontId="1" type="noConversion"/>
  </si>
  <si>
    <t>紅,綠,藍,黃</t>
    <phoneticPr fontId="1" type="noConversion"/>
  </si>
  <si>
    <t>標楷體, 新細明體 , 微軟正黑體</t>
    <phoneticPr fontId="1" type="noConversion"/>
  </si>
  <si>
    <t>Arial, Calibri , TimesNewRoman</t>
    <phoneticPr fontId="1" type="noConversion"/>
  </si>
  <si>
    <t>1~5</t>
    <phoneticPr fontId="1" type="noConversion"/>
  </si>
  <si>
    <t xml:space="preserve"> 1: 一般;  2:緊急  3: 超時</t>
    <phoneticPr fontId="1" type="noConversion"/>
  </si>
  <si>
    <t>dmd_pre_record_message</t>
    <phoneticPr fontId="1" type="noConversion"/>
  </si>
  <si>
    <t>dmd_instant_message</t>
    <phoneticPr fontId="1" type="noConversion"/>
  </si>
  <si>
    <t>點矩陣即時訊息列表</t>
  </si>
  <si>
    <t>dmd_instant_message</t>
  </si>
  <si>
    <t>備考</t>
    <phoneticPr fontId="1" type="noConversion"/>
  </si>
  <si>
    <t>固定數量資料(需確認),可於CMFT手動編輯內容,但不可新增刪除,目前為臨時假數據</t>
    <phoneticPr fontId="1" type="noConversion"/>
  </si>
  <si>
    <t>為固定數量資料,目前insert數據為實際數據</t>
    <phoneticPr fontId="1" type="noConversion"/>
  </si>
  <si>
    <t>dmd_playlist</t>
  </si>
  <si>
    <t>dmd_playlist</t>
    <phoneticPr fontId="1" type="noConversion"/>
  </si>
  <si>
    <t>點矩陣播放內容</t>
  </si>
  <si>
    <t>sned_time</t>
  </si>
  <si>
    <t>點矩陣設備編號</t>
  </si>
  <si>
    <t>發送時間</t>
  </si>
  <si>
    <t>dmd_schedule</t>
  </si>
  <si>
    <t>點矩陣預錄訊息排程</t>
    <phoneticPr fontId="1" type="noConversion"/>
  </si>
  <si>
    <t>schedule_id</t>
  </si>
  <si>
    <t>schedule_name</t>
  </si>
  <si>
    <t>start_date</t>
  </si>
  <si>
    <t>end_date</t>
  </si>
  <si>
    <t>排程編號</t>
  </si>
  <si>
    <t>排程名稱</t>
  </si>
  <si>
    <t>啟用狀態</t>
  </si>
  <si>
    <t>啟用日期</t>
  </si>
  <si>
    <t>結束日期</t>
  </si>
  <si>
    <t>點矩陣預錄訊息播放內容</t>
    <phoneticPr fontId="1" type="noConversion"/>
  </si>
  <si>
    <t>dmd_schedule_playlist</t>
  </si>
  <si>
    <t>dmd_schedule</t>
    <phoneticPr fontId="1" type="noConversion"/>
  </si>
  <si>
    <t>dmd_schedule_playlist</t>
    <phoneticPr fontId="1" type="noConversion"/>
  </si>
  <si>
    <t>message_id</t>
    <phoneticPr fontId="1" type="noConversion"/>
  </si>
  <si>
    <t>LG01</t>
    <phoneticPr fontId="1" type="noConversion"/>
  </si>
  <si>
    <t>dmd_target</t>
  </si>
  <si>
    <t>dmd_target</t>
    <phoneticPr fontId="1" type="noConversion"/>
  </si>
  <si>
    <t>dmd_group_target</t>
  </si>
  <si>
    <t>dmd_group_target</t>
    <phoneticPr fontId="1" type="noConversion"/>
  </si>
  <si>
    <t>廣播對象列表</t>
    <phoneticPr fontId="1" type="noConversion"/>
  </si>
  <si>
    <t>點矩陣對象列表</t>
    <phoneticPr fontId="1" type="noConversion"/>
  </si>
  <si>
    <t>點矩陣群組對象</t>
    <phoneticPr fontId="1" type="noConversion"/>
  </si>
  <si>
    <t>pa_group</t>
    <phoneticPr fontId="1" type="noConversion"/>
  </si>
  <si>
    <t>pa_group_target</t>
    <phoneticPr fontId="1" type="noConversion"/>
  </si>
  <si>
    <t>廣播群組設定</t>
    <phoneticPr fontId="1" type="noConversion"/>
  </si>
  <si>
    <t>廣播群組對象</t>
    <phoneticPr fontId="1" type="noConversion"/>
  </si>
  <si>
    <t>dmd_target</t>
    <phoneticPr fontId="1" type="noConversion"/>
  </si>
  <si>
    <t>dmd_group_target</t>
    <phoneticPr fontId="1" type="noConversion"/>
  </si>
  <si>
    <t>pa_target</t>
    <phoneticPr fontId="1" type="noConversion"/>
  </si>
  <si>
    <t>pa_pre_record_voice</t>
    <phoneticPr fontId="1" type="noConversion"/>
  </si>
  <si>
    <t>廣播預錄音檔列表</t>
    <phoneticPr fontId="1" type="noConversion"/>
  </si>
  <si>
    <t>folder_id</t>
  </si>
  <si>
    <t>語音編號</t>
  </si>
  <si>
    <t>status</t>
  </si>
  <si>
    <t>version</t>
  </si>
  <si>
    <t>語音版本(日期)</t>
  </si>
  <si>
    <t>file_name</t>
  </si>
  <si>
    <t>語音內容</t>
  </si>
  <si>
    <t>音檔含有國語</t>
  </si>
  <si>
    <t>include_english</t>
  </si>
  <si>
    <t>音檔含有英語</t>
  </si>
  <si>
    <t>音檔含有台語</t>
  </si>
  <si>
    <t>include_hakka</t>
  </si>
  <si>
    <t>音檔含有客語</t>
  </si>
  <si>
    <t>voice_type</t>
    <phoneticPr fontId="1" type="noConversion"/>
  </si>
  <si>
    <t>voice_content</t>
    <phoneticPr fontId="1" type="noConversion"/>
  </si>
  <si>
    <t>voice_priority</t>
    <phoneticPr fontId="1" type="noConversion"/>
  </si>
  <si>
    <t>語音類別</t>
    <phoneticPr fontId="1" type="noConversion"/>
  </si>
  <si>
    <t>pa_pre_record_voice</t>
    <phoneticPr fontId="1" type="noConversion"/>
  </si>
  <si>
    <t>include_taiwanese</t>
    <phoneticPr fontId="1" type="noConversion"/>
  </si>
  <si>
    <t xml:space="preserve"> 1: 一般;  2:緊急</t>
    <phoneticPr fontId="1" type="noConversion"/>
  </si>
  <si>
    <t>include_chinese</t>
    <phoneticPr fontId="1" type="noConversion"/>
  </si>
  <si>
    <t>cmft_role_auth</t>
    <phoneticPr fontId="1" type="noConversion"/>
  </si>
  <si>
    <t>鍵值設定</t>
    <phoneticPr fontId="1" type="noConversion"/>
  </si>
  <si>
    <t>布林</t>
    <phoneticPr fontId="1" type="noConversion"/>
  </si>
  <si>
    <t>true</t>
    <phoneticPr fontId="1" type="noConversion"/>
  </si>
  <si>
    <t>false</t>
    <phoneticPr fontId="1" type="noConversion"/>
  </si>
  <si>
    <t>folder_id</t>
    <phoneticPr fontId="1" type="noConversion"/>
  </si>
  <si>
    <t>您好，月台候車時，請分散候車位置，以節省您的上下車時間，謝謝。</t>
  </si>
  <si>
    <t>file_type</t>
    <phoneticPr fontId="1" type="noConversion"/>
  </si>
  <si>
    <t>音檔類型</t>
    <phoneticPr fontId="1" type="noConversion"/>
  </si>
  <si>
    <t>N</t>
    <phoneticPr fontId="1" type="noConversion"/>
  </si>
  <si>
    <t>音檔名稱</t>
    <phoneticPr fontId="1" type="noConversion"/>
  </si>
  <si>
    <t>各位旅客您好，為維護環境清潔，請不要在車站及列車上吃東西、喝飲料、嚼口香糖或檳榔。</t>
    <phoneticPr fontId="1" type="noConversion"/>
  </si>
  <si>
    <t>各位旅客請注意，因本次事故而離開車站的旅客，您所持用的悠遊卡可繼續使用，不扣除本次旅程費用；持用單程票的旅客，請在一週內向車站辦理退票。</t>
    <phoneticPr fontId="1" type="noConversion"/>
  </si>
  <si>
    <t>您好，候車時，請於白色候車線後方依序排隊，謝謝。</t>
    <phoneticPr fontId="1" type="noConversion"/>
  </si>
  <si>
    <t>pa_schedule</t>
  </si>
  <si>
    <t>pa_schedule</t>
    <phoneticPr fontId="1" type="noConversion"/>
  </si>
  <si>
    <t>pa_schedule_playlist</t>
  </si>
  <si>
    <t>pa_schedule_playlist</t>
    <phoneticPr fontId="1" type="noConversion"/>
  </si>
  <si>
    <t>area_id</t>
    <phoneticPr fontId="1" type="noConversion"/>
  </si>
  <si>
    <t>區域編號</t>
    <phoneticPr fontId="1" type="noConversion"/>
  </si>
  <si>
    <t>dmd_train_message</t>
    <phoneticPr fontId="1" type="noConversion"/>
  </si>
  <si>
    <t>點矩陣列車訊息</t>
    <phoneticPr fontId="1" type="noConversion"/>
  </si>
  <si>
    <t>dmd_train_message</t>
  </si>
  <si>
    <t>message_subtype</t>
    <phoneticPr fontId="1" type="noConversion"/>
  </si>
  <si>
    <t>訊息子類別</t>
    <phoneticPr fontId="1" type="noConversion"/>
  </si>
  <si>
    <t>display_times</t>
    <phoneticPr fontId="1" type="noConversion"/>
  </si>
  <si>
    <t>countdown_display_Interval</t>
    <phoneticPr fontId="1" type="noConversion"/>
  </si>
  <si>
    <t>顯示次數</t>
    <phoneticPr fontId="1" type="noConversion"/>
  </si>
  <si>
    <t>倒數顯示間格</t>
  </si>
  <si>
    <t>倒數顯示間格</t>
    <phoneticPr fontId="1" type="noConversion"/>
  </si>
  <si>
    <t>中文訊息內容</t>
  </si>
  <si>
    <t>終端站大廳</t>
  </si>
  <si>
    <t>終端站月台</t>
  </si>
  <si>
    <t>一般站大廳</t>
    <phoneticPr fontId="1" type="noConversion"/>
  </si>
  <si>
    <t>班車靠站</t>
    <phoneticPr fontId="1" type="noConversion"/>
  </si>
  <si>
    <t>班車多久到站</t>
    <phoneticPr fontId="1" type="noConversion"/>
  </si>
  <si>
    <t>班車離站</t>
    <phoneticPr fontId="1" type="noConversion"/>
  </si>
  <si>
    <t>已無列車</t>
    <phoneticPr fontId="1" type="noConversion"/>
  </si>
  <si>
    <t>一般站月台</t>
    <phoneticPr fontId="1" type="noConversion"/>
  </si>
  <si>
    <t>班車即將到站</t>
    <phoneticPr fontId="1" type="noConversion"/>
  </si>
  <si>
    <t>班車到站</t>
    <phoneticPr fontId="1" type="noConversion"/>
  </si>
  <si>
    <t>班車即將離站</t>
    <phoneticPr fontId="1" type="noConversion"/>
  </si>
  <si>
    <t>不提供載客服務</t>
    <phoneticPr fontId="1" type="noConversion"/>
  </si>
  <si>
    <t>班車多久發車</t>
    <phoneticPr fontId="1" type="noConversion"/>
  </si>
  <si>
    <t>類型</t>
    <phoneticPr fontId="1" type="noConversion"/>
  </si>
  <si>
    <t>編號</t>
    <phoneticPr fontId="1" type="noConversion"/>
  </si>
  <si>
    <t>顯示文字</t>
    <phoneticPr fontId="1" type="noConversion"/>
  </si>
  <si>
    <t>子類型</t>
    <phoneticPr fontId="1" type="noConversion"/>
  </si>
  <si>
    <t>移動方式</t>
    <phoneticPr fontId="1" type="noConversion"/>
  </si>
  <si>
    <t>上翻</t>
  </si>
  <si>
    <t>下翻</t>
  </si>
  <si>
    <t>右移</t>
  </si>
  <si>
    <t>左移</t>
  </si>
  <si>
    <t>優先等級</t>
    <phoneticPr fontId="1" type="noConversion"/>
  </si>
  <si>
    <t>字型</t>
    <phoneticPr fontId="1" type="noConversion"/>
  </si>
  <si>
    <t>大小</t>
    <phoneticPr fontId="1" type="noConversion"/>
  </si>
  <si>
    <t>顏色</t>
    <phoneticPr fontId="1" type="noConversion"/>
  </si>
  <si>
    <t>標楷體</t>
  </si>
  <si>
    <t>新細明體</t>
  </si>
  <si>
    <t>微軟正黑體</t>
  </si>
  <si>
    <t>Arial</t>
    <phoneticPr fontId="1" type="noConversion"/>
  </si>
  <si>
    <t>Calibri</t>
    <phoneticPr fontId="1" type="noConversion"/>
  </si>
  <si>
    <t>TimesNewRoman</t>
    <phoneticPr fontId="1" type="noConversion"/>
  </si>
  <si>
    <t>小</t>
  </si>
  <si>
    <t>中</t>
  </si>
  <si>
    <t>大</t>
  </si>
  <si>
    <t>紅</t>
  </si>
  <si>
    <t>綠</t>
  </si>
  <si>
    <t>藍</t>
  </si>
  <si>
    <t>黃</t>
  </si>
  <si>
    <t>中文設定</t>
    <phoneticPr fontId="1" type="noConversion"/>
  </si>
  <si>
    <t>英文設定</t>
    <phoneticPr fontId="1" type="noConversion"/>
  </si>
  <si>
    <t>基本設定</t>
    <phoneticPr fontId="1" type="noConversion"/>
  </si>
  <si>
    <t>一般</t>
    <phoneticPr fontId="1" type="noConversion"/>
  </si>
  <si>
    <t>緊急</t>
    <phoneticPr fontId="1" type="noConversion"/>
  </si>
  <si>
    <t>微軟正黑體</t>
    <phoneticPr fontId="1" type="noConversion"/>
  </si>
  <si>
    <t>pa_daypart_volume</t>
  </si>
  <si>
    <t>pa_daypart_volume</t>
    <phoneticPr fontId="1" type="noConversion"/>
  </si>
  <si>
    <t>廣播預錄語音排程</t>
    <phoneticPr fontId="1" type="noConversion"/>
  </si>
  <si>
    <t>廣播預錄語音播放內容</t>
    <phoneticPr fontId="1" type="noConversion"/>
  </si>
  <si>
    <t>廣播時段音量</t>
    <phoneticPr fontId="1" type="noConversion"/>
  </si>
  <si>
    <t>時段</t>
  </si>
  <si>
    <t>音量</t>
  </si>
  <si>
    <t>pa_daypart_volume</t>
    <phoneticPr fontId="1" type="noConversion"/>
  </si>
  <si>
    <t>daypart</t>
  </si>
  <si>
    <t>daypart</t>
    <phoneticPr fontId="1" type="noConversion"/>
  </si>
  <si>
    <t>volume</t>
    <phoneticPr fontId="1" type="noConversion"/>
  </si>
  <si>
    <t>廣播</t>
    <phoneticPr fontId="1" type="noConversion"/>
  </si>
  <si>
    <t>時段</t>
    <phoneticPr fontId="1" type="noConversion"/>
  </si>
  <si>
    <t>尖峰時段</t>
    <phoneticPr fontId="1" type="noConversion"/>
  </si>
  <si>
    <t>離峰時段</t>
    <phoneticPr fontId="1" type="noConversion"/>
  </si>
  <si>
    <t>夜間時段</t>
    <phoneticPr fontId="1" type="noConversion"/>
  </si>
  <si>
    <t>預錄語音</t>
    <phoneticPr fontId="1" type="noConversion"/>
  </si>
  <si>
    <t>pa_daypart_time</t>
  </si>
  <si>
    <t>pa_daypart_time</t>
    <phoneticPr fontId="1" type="noConversion"/>
  </si>
  <si>
    <t>廣播分時時間</t>
    <phoneticPr fontId="1" type="noConversion"/>
  </si>
  <si>
    <t>week_day</t>
  </si>
  <si>
    <t>start_time</t>
  </si>
  <si>
    <t>時段起始時間</t>
  </si>
  <si>
    <t>end_time</t>
  </si>
  <si>
    <t>時段結束時間</t>
  </si>
  <si>
    <t>星期</t>
    <phoneticPr fontId="1" type="noConversion"/>
  </si>
  <si>
    <t>daypart_time_id</t>
    <phoneticPr fontId="1" type="noConversion"/>
  </si>
  <si>
    <t>分時時間序號</t>
    <phoneticPr fontId="1" type="noConversion"/>
  </si>
  <si>
    <t>dmd_power_setting</t>
  </si>
  <si>
    <t>dmd_power_setting</t>
    <phoneticPr fontId="1" type="noConversion"/>
  </si>
  <si>
    <t>點矩陣電源設定</t>
    <phoneticPr fontId="1" type="noConversion"/>
  </si>
  <si>
    <t>eco_mode</t>
    <phoneticPr fontId="1" type="noConversion"/>
  </si>
  <si>
    <t>節能模式</t>
    <phoneticPr fontId="1" type="noConversion"/>
  </si>
  <si>
    <t>on/off</t>
    <phoneticPr fontId="1" type="noConversion"/>
  </si>
  <si>
    <t>eco_time</t>
    <phoneticPr fontId="1" type="noConversion"/>
  </si>
  <si>
    <t>not_eco_day</t>
    <phoneticPr fontId="1" type="noConversion"/>
  </si>
  <si>
    <t>auto_play_time</t>
    <phoneticPr fontId="1" type="noConversion"/>
  </si>
  <si>
    <t>auto_eco_time</t>
    <phoneticPr fontId="1" type="noConversion"/>
  </si>
  <si>
    <t>自動啟動時間</t>
  </si>
  <si>
    <t>自動關閉時間</t>
  </si>
  <si>
    <t>進入節能模式(秒)</t>
    <phoneticPr fontId="1" type="noConversion"/>
  </si>
  <si>
    <t>記錄各車站的所有尖峰及夜間時刻</t>
    <phoneticPr fontId="1" type="noConversion"/>
  </si>
  <si>
    <t>不休眠日期(跨年)</t>
    <phoneticPr fontId="1" type="noConversion"/>
  </si>
  <si>
    <t>sys_alarm_list</t>
  </si>
  <si>
    <t>告警定義列表</t>
    <phoneticPr fontId="1" type="noConversion"/>
  </si>
  <si>
    <t>alarm_id</t>
  </si>
  <si>
    <t>告警編號</t>
  </si>
  <si>
    <t>alarm_level</t>
  </si>
  <si>
    <t>possible_reason</t>
  </si>
  <si>
    <t>alarm_volume</t>
  </si>
  <si>
    <t>告警音量</t>
  </si>
  <si>
    <t>PK</t>
    <phoneticPr fontId="1" type="noConversion"/>
  </si>
  <si>
    <t>sys_alarm_list</t>
    <phoneticPr fontId="1" type="noConversion"/>
  </si>
  <si>
    <t>OTCS</t>
  </si>
  <si>
    <t>EMU</t>
  </si>
  <si>
    <t>DAR</t>
  </si>
  <si>
    <t>TETRA</t>
  </si>
  <si>
    <t>possible_reason_eng</t>
  </si>
  <si>
    <t>CTS</t>
  </si>
  <si>
    <t>告警等級</t>
    <phoneticPr fontId="1" type="noConversion"/>
  </si>
  <si>
    <t>EPABX</t>
  </si>
  <si>
    <t>description_eng</t>
  </si>
  <si>
    <t>警告來源</t>
    <phoneticPr fontId="1" type="noConversion"/>
  </si>
  <si>
    <t>可能原因(中文)</t>
    <phoneticPr fontId="1" type="noConversion"/>
  </si>
  <si>
    <t>說明(中文)</t>
    <phoneticPr fontId="1" type="noConversion"/>
  </si>
  <si>
    <t>說明(英文)</t>
    <phoneticPr fontId="1" type="noConversion"/>
  </si>
  <si>
    <t>可能原因(英文)</t>
    <phoneticPr fontId="1" type="noConversion"/>
  </si>
  <si>
    <t>alarm_source</t>
    <phoneticPr fontId="1" type="noConversion"/>
  </si>
  <si>
    <t>sys_alarm_history</t>
  </si>
  <si>
    <t>sys_alarm_history</t>
    <phoneticPr fontId="1" type="noConversion"/>
  </si>
  <si>
    <t>sys_alarm</t>
    <phoneticPr fontId="1" type="noConversion"/>
  </si>
  <si>
    <t>告警列表</t>
    <phoneticPr fontId="1" type="noConversion"/>
  </si>
  <si>
    <t>告警列表(歷史紀錄)</t>
    <phoneticPr fontId="1" type="noConversion"/>
  </si>
  <si>
    <t>使用者操作紀錄列表(歷史紀錄)</t>
    <phoneticPr fontId="1" type="noConversion"/>
  </si>
  <si>
    <t>alarm_time</t>
  </si>
  <si>
    <t>location</t>
  </si>
  <si>
    <t>release_time</t>
  </si>
  <si>
    <t>check_time</t>
  </si>
  <si>
    <t>check_user</t>
  </si>
  <si>
    <t>發生地點</t>
  </si>
  <si>
    <t>發生時間</t>
  </si>
  <si>
    <t>解除時間</t>
  </si>
  <si>
    <t>確認時間</t>
  </si>
  <si>
    <t>確認人員</t>
  </si>
  <si>
    <t>sys_alarm</t>
    <phoneticPr fontId="1" type="noConversion"/>
  </si>
  <si>
    <t>sys_alarm_history</t>
    <phoneticPr fontId="1" type="noConversion"/>
  </si>
  <si>
    <t>message_name</t>
    <phoneticPr fontId="1" type="noConversion"/>
  </si>
  <si>
    <t>訊息名稱</t>
    <phoneticPr fontId="1" type="noConversion"/>
  </si>
  <si>
    <t>暫停時間</t>
    <phoneticPr fontId="1" type="noConversion"/>
  </si>
  <si>
    <t>誤點</t>
    <phoneticPr fontId="1" type="noConversion"/>
  </si>
  <si>
    <t>商業廣告</t>
    <phoneticPr fontId="1" type="noConversion"/>
  </si>
  <si>
    <t>乘客須知</t>
    <phoneticPr fontId="1" type="noConversion"/>
  </si>
  <si>
    <t>緊急訊息</t>
    <phoneticPr fontId="1" type="noConversion"/>
  </si>
  <si>
    <t>政令宣導</t>
    <phoneticPr fontId="1" type="noConversion"/>
  </si>
  <si>
    <t>各位旅客您好，使用單程票時請將車票輕觸感應區後進站，出站時，車票會自動回收，謝謝您的支持與配合。</t>
  </si>
  <si>
    <t>您好，往蘆洲方向已無列車運行，往蘆洲方向已無列車運行，謝謝。</t>
  </si>
  <si>
    <t>各位旅客請注意！各位旅客請注意！往忠孝新生方向最後一班列車即將發車，請儘速上車，謝謝。</t>
  </si>
  <si>
    <t>您好，往忠孝新生方向已無列車運行，往忠孝新生方向已無列車運行，謝謝。</t>
  </si>
  <si>
    <t>各位旅客請注意！各位旅客請注意！往輔大方向最後一班列車即將進站，請儘速到月台候車，謝謝您的支持與配合。</t>
  </si>
  <si>
    <t>各位旅客請注意！各位旅客請注意！往輔大方向最後一班列車即將發車，請儘速上車，謝謝。</t>
  </si>
  <si>
    <t>各位旅客請注意，目前二月台的列車為故障列車，不提供載客服務，請不要上車，下部列車即將進站。</t>
  </si>
  <si>
    <t>各位旅客請注意，一月台即將進站的列車不提供載客服務，往新北產業園區方向的旅客請在月台上稍後。</t>
  </si>
  <si>
    <t>各位旅客請注意，二月台即將進站的列車不提供載客服務，往新北產業園區方向的旅客請至一月台候車。</t>
  </si>
  <si>
    <t>各位旅客請注意，二月台即將進站的列車不提供載客服務，往新北產業園區方向的旅客請在月台上稍後。</t>
  </si>
  <si>
    <t>各位旅客請注意，二月台即將進站的列車不提供載客服務，往大坪林方向的旅客請至一月台候車。</t>
  </si>
  <si>
    <t>往新北產業園區方向的旅客請注意，一月台即將進站的列車不提供載客服務，下部列車隨即進站，請在月台上稍後。</t>
  </si>
  <si>
    <t>往大坪林方向的旅客請注意，二月台即將進站的列車不提供載客服務，下部列車隨即進站，請在月台上稍後。</t>
  </si>
  <si>
    <t>各位旅客請注意，因列車調度，列車在此臨時停車，請稍候。</t>
  </si>
  <si>
    <t>無使用</t>
  </si>
  <si>
    <t>1分鐘空白語音測試</t>
  </si>
  <si>
    <t>搭乘捷運請全程佩戴口罩，違反規定者，最高罰新臺幣1萬5000元，並拒絕運送。</t>
  </si>
  <si>
    <t>因應防疫，使用單程票或未記名票卡的旅客，進站與出站時，請配合完成實聯制掃碼。</t>
  </si>
  <si>
    <t>各位旅客請注意：由於颱風風速已達八級陣風，請您在月台候車時注意自身的安全，列車進站停妥後，再依序上車，謝謝您的支持。</t>
  </si>
  <si>
    <t>x</t>
    <phoneticPr fontId="1" type="noConversion"/>
  </si>
  <si>
    <t>6f6874cb-04e3-44cf-ad17-c1e45d961e5e</t>
  </si>
  <si>
    <t>5cf03fe4-b462-4dd4-819d-3630c07e5d65</t>
  </si>
  <si>
    <t>8dd6f0db-ac4b-41a3-9332-a49406b4fba5</t>
  </si>
  <si>
    <t>6fb9992d-20ec-4894-887f-59f006902e30</t>
  </si>
  <si>
    <t>3a95e281-393a-4939-9fe7-80a3dfd454e2</t>
  </si>
  <si>
    <t>a6f0506b-81f9-4e7b-b017-c33d4be3b3fa</t>
  </si>
  <si>
    <t>2b3cd3d1-abd3-40bb-a541-0957d535fc68</t>
  </si>
  <si>
    <t>b6532612-2f97-4385-9fae-1135da1bf323</t>
  </si>
  <si>
    <t>54d3d3d9-6b86-4796-8836-90c578c78326</t>
  </si>
  <si>
    <t>dc719bbc-d87b-4b77-bc54-073b9d9b9dbe</t>
  </si>
  <si>
    <t>13509ddc-21a6-4316-83cc-27b3c1e4d4dd</t>
  </si>
  <si>
    <t>8815fecc-bd88-4353-a984-d56a1ce163f6</t>
  </si>
  <si>
    <t>6e3f2b62-5e11-4943-b002-25148c5c5744</t>
  </si>
  <si>
    <t>7771aa5e-3e6f-47bc-9e3f-89a611c8b356</t>
  </si>
  <si>
    <t>d4849bd4-03bf-41c6-b667-2c558eac4bc7</t>
  </si>
  <si>
    <t>6120ada4-7ee1-40b7-bd2f-2d48b42d7639</t>
  </si>
  <si>
    <t>95c56357-4074-4f95-9c40-1afd5c558cbb</t>
  </si>
  <si>
    <t>2b6c52f5-62a8-435d-bcd0-983879f89177</t>
  </si>
  <si>
    <t>0c5495ea-4e58-4153-896b-8fa3c9dda56c</t>
  </si>
  <si>
    <t>66fbe952-efae-4fda-b64f-13176b1f103a</t>
  </si>
  <si>
    <t>46bc56a8-15ec-430d-bc69-5151251ed749</t>
  </si>
  <si>
    <t>bcbd008e-5597-409b-b913-d352863b9e98</t>
  </si>
  <si>
    <t>e3320856-667e-45bf-9c22-8f69d1f4017e</t>
  </si>
  <si>
    <t>7e1523c3-74c2-4e91-9476-9d85b97e5608</t>
  </si>
  <si>
    <t>ad88ef1e-3093-4041-8a66-19d6de91541a</t>
  </si>
  <si>
    <t>faf02d9c-fb54-4922-805a-2c6eb386ea74</t>
  </si>
  <si>
    <t>f08220c4-569f-4938-99ef-1a229badb1c1</t>
  </si>
  <si>
    <t>aeb4b0ee-00b0-4457-8edd-98cea61f96a5</t>
  </si>
  <si>
    <t>89549b15-a813-4f20-873c-8071cf72031e</t>
  </si>
  <si>
    <t>a45907a6-345f-47c9-b649-4614c41cf535</t>
  </si>
  <si>
    <t>80b7bd0c-1727-42c4-ab3d-35cc95c28237</t>
  </si>
  <si>
    <t>7ece91b1-a3c2-4205-b384-03fd8164bc75</t>
  </si>
  <si>
    <t>b7527dbc-c00e-49b6-b607-baaeb5201ccf</t>
  </si>
  <si>
    <t>7ead9bf8-b178-4922-94c3-de1da5fcfa29</t>
  </si>
  <si>
    <t>eee67091-30e0-44f2-aeb3-eb1dd3d06534</t>
  </si>
  <si>
    <t>edfd647b-8b3e-4f69-94bf-d8d79d127946</t>
  </si>
  <si>
    <t>70dde021-5cf2-4beb-bd05-427f318dc8c5</t>
  </si>
  <si>
    <t>320e904c-143f-48b4-8e4d-616f5b42f12c</t>
  </si>
  <si>
    <t>25f5658d-9f23-4616-9b56-18e1a3b6942b</t>
  </si>
  <si>
    <t>ccd5c810-fceb-42e0-9657-57ca64ca528b</t>
  </si>
  <si>
    <t>614c12e1-9614-4527-8171-54b53ae5ec6b</t>
  </si>
  <si>
    <t>07d94484-0b18-4ae7-afc9-6c84c5767432</t>
  </si>
  <si>
    <t>da9a3013-5e8b-4253-9678-bd05df29d554</t>
  </si>
  <si>
    <t>7aa1fdda-84cf-4585-a9b3-3ffde22ec0b1</t>
  </si>
  <si>
    <t>3944fa96-3bfa-4b9f-843f-b2c01c4f9e51</t>
  </si>
  <si>
    <t>7c1aa7f1-0de6-4667-8666-d852b88b063c</t>
  </si>
  <si>
    <t>74b7031f-5c92-43cc-8d6b-64fa0bbaa7c8</t>
  </si>
  <si>
    <t>89e13a60-3e5a-46b4-9b3a-3304bda78efc</t>
  </si>
  <si>
    <t>adb5d65a-8f17-426f-8f60-ed0c97660ee9</t>
  </si>
  <si>
    <t>41229fe2-79b3-46ca-844b-d86b66f71dcb</t>
  </si>
  <si>
    <t>61622c00-eb53-4b9f-bd56-80f6af2f2243</t>
  </si>
  <si>
    <t>5b6ea464-21bd-481a-8f48-a0250b2fc7f8</t>
  </si>
  <si>
    <t>987a9ab5-7f1b-423f-b003-d25619183844</t>
  </si>
  <si>
    <t>7a19f937-f94c-40ff-bf5e-1a1a515074cf</t>
  </si>
  <si>
    <t>315d200f-1c21-4ece-ba35-4d3642593f17</t>
  </si>
  <si>
    <t>ca07c925-3e5f-437c-85ca-b78f9895d278</t>
  </si>
  <si>
    <t>b2eb2aa4-f5d9-435b-a4e7-6a1d4914d85a</t>
  </si>
  <si>
    <t>cfca5df7-cb50-4677-b20f-379f4a1cdad3</t>
  </si>
  <si>
    <t>20b6fc98-f37d-44f6-a437-9151b8ec5613</t>
  </si>
  <si>
    <t>f053c78d-ca8b-4730-9fc6-a2ad738c1702</t>
  </si>
  <si>
    <t>edd88d66-4cc1-4d46-9f95-d2dd76ea6529</t>
  </si>
  <si>
    <t>b2d15452-be34-40d0-9687-e52d10dc9260</t>
  </si>
  <si>
    <t>4611eb28-a0af-4ac4-8dd6-f60ef70dba77</t>
  </si>
  <si>
    <t>1cb88965-c095-415b-a54b-01429fbe3982</t>
  </si>
  <si>
    <t>d5000b66-6af4-48a4-b975-527cdcd80b95</t>
  </si>
  <si>
    <t>951b4f48-1a83-4158-b7bf-15e40fae6f56</t>
  </si>
  <si>
    <t>b60b4c9b-953b-4152-b572-e0b64644a4d3</t>
  </si>
  <si>
    <t>aaf68680-4f9b-4a13-82fd-61fa9ed1d67f</t>
  </si>
  <si>
    <t>ea08d621-08ea-400d-aeb5-97f1b59ba98b</t>
  </si>
  <si>
    <t>cf99eb4a-6481-4dbf-96b2-3053b53bbc75</t>
  </si>
  <si>
    <t>32cfc09d-91e5-409d-8d86-a95715ec94cf</t>
  </si>
  <si>
    <t>48d3ccf8-1a5a-46e1-a27f-8d9e0734c36a</t>
  </si>
  <si>
    <t>23cf8732-0cee-48db-9fe4-d6773ed00ba8</t>
  </si>
  <si>
    <t>eb095d4c-ec56-440e-a5e9-43329b343a1c</t>
  </si>
  <si>
    <t>ec2e676e-10bc-45a8-a599-92bd0a296f71</t>
  </si>
  <si>
    <t>b67a38e7-1fe0-4ee9-91c6-3d547d905119</t>
  </si>
  <si>
    <t>3a1dea8c-b2bf-423a-84ee-6ed7364d81b2</t>
  </si>
  <si>
    <t>81ade93e-4738-4e7b-a065-740e900d28cd</t>
  </si>
  <si>
    <t>99736daf-973c-4312-8c31-8177f6ca17a2</t>
  </si>
  <si>
    <t>da52709a-5922-41fa-93f0-f2a6b510f9a5</t>
  </si>
  <si>
    <t>3d90b151-1f51-44cc-a3a6-d3a0c5a4b7cf</t>
  </si>
  <si>
    <t>6fb7da1c-a0fa-4ac2-9ace-2700f16dfc9a</t>
  </si>
  <si>
    <t>7fd9d680-4056-45bf-9be3-768cf56d6177</t>
  </si>
  <si>
    <t>66138d50-07cd-40a2-89cd-9766876639c2</t>
  </si>
  <si>
    <t>5c41704f-657d-4574-9887-66fd3218e5ea</t>
  </si>
  <si>
    <t>24c23680-648e-449c-9640-8898ae644aed</t>
  </si>
  <si>
    <t>e69d9f71-44ee-4819-8a95-6c84cfc38167</t>
  </si>
  <si>
    <t>2015fb68-d85b-4f01-a224-71379697c5e0</t>
  </si>
  <si>
    <t>89f72681-d0e4-4be0-bd3d-78ceca49e46f</t>
  </si>
  <si>
    <t>dd28c6b4-7228-4537-811b-2630a2c405f1</t>
  </si>
  <si>
    <t>9923b783-e58b-4394-bea0-98a2a1893f80</t>
  </si>
  <si>
    <t>ab6011a1-fa90-4ca7-bfe7-ce58028adf7a</t>
  </si>
  <si>
    <t>5f9b3c35-a1d7-46c0-9e88-1c5a1f6dfad5</t>
  </si>
  <si>
    <t>11cc18ac-4c73-4096-9438-0da6e4b6aa9e</t>
  </si>
  <si>
    <t>23081968-045c-44e1-9aea-58bd915971c8</t>
  </si>
  <si>
    <t>不要飲食</t>
    <phoneticPr fontId="1" type="noConversion"/>
  </si>
  <si>
    <t>單程票使用</t>
    <phoneticPr fontId="1" type="noConversion"/>
  </si>
  <si>
    <t>各位旅客您好，由於電扶梯移動速度較快，年長及行動不便的旅客請儘量改搭電梯，以維護您的安全。</t>
    <phoneticPr fontId="1" type="noConversion"/>
  </si>
  <si>
    <t>行動不便改搭電梯</t>
    <phoneticPr fontId="1" type="noConversion"/>
  </si>
  <si>
    <t>各位旅客請注意，搭乘電扶梯時，請靠右站立保持左側淨空並緊握扶手，謝謝您的支持與配合。</t>
    <phoneticPr fontId="1" type="noConversion"/>
  </si>
  <si>
    <t>電扶梯靠右</t>
    <phoneticPr fontId="1" type="noConversion"/>
  </si>
  <si>
    <t>各位旅客您好，為了維持秩序與安全，請照顧好您的小孩，不要讓他們在車站及列車上奔跑，以免發生危險，謝謝您的支持與配合。</t>
    <phoneticPr fontId="1" type="noConversion"/>
  </si>
  <si>
    <t>照顧好小孩</t>
    <phoneticPr fontId="1" type="noConversion"/>
  </si>
  <si>
    <t>候車線排隊</t>
    <phoneticPr fontId="1" type="noConversion"/>
  </si>
  <si>
    <t>各位旅客您好，搭車時請禮讓車上旅客下車再依序上車，謝謝您的支持與配合。</t>
    <phoneticPr fontId="1" type="noConversion"/>
  </si>
  <si>
    <t>下車再上車</t>
    <phoneticPr fontId="1" type="noConversion"/>
  </si>
  <si>
    <t>各位旅客您好，因為現在人潮眾多，請各位旅客分散到各車廂門候車，以避免擁擠，謝謝您的支持與配合。</t>
    <phoneticPr fontId="1" type="noConversion"/>
  </si>
  <si>
    <t>分散候車</t>
    <phoneticPr fontId="1" type="noConversion"/>
  </si>
  <si>
    <t>人潮眾多分散候車</t>
    <phoneticPr fontId="1" type="noConversion"/>
  </si>
  <si>
    <t>各位旅客請注意，本站因故將暫停服務，請遵照服務人員的引導，迅速離開車站，謝謝您的支持與配合。</t>
    <phoneticPr fontId="1" type="noConversion"/>
  </si>
  <si>
    <t>各位旅客請注意，各位旅客請注意，由於車站內發生緊急事故，為了您的安全，請迅速離開車站。</t>
    <phoneticPr fontId="1" type="noConversion"/>
  </si>
  <si>
    <t>因故暫停服務</t>
    <phoneticPr fontId="1" type="noConversion"/>
  </si>
  <si>
    <t>緊急事故</t>
    <phoneticPr fontId="1" type="noConversion"/>
  </si>
  <si>
    <t>事故後續辦理</t>
    <phoneticPr fontId="1" type="noConversion"/>
  </si>
  <si>
    <t>各位旅客請注意，本站即將結束今天的服務，請您儘速離開車站，謝謝您的惠顧，祝您愉快。</t>
    <phoneticPr fontId="1" type="noConversion"/>
  </si>
  <si>
    <t>結束今天服務</t>
    <phoneticPr fontId="1" type="noConversion"/>
  </si>
  <si>
    <t>各位旅客請注意！各位旅客請注意！往蘆洲方向最後一班列車即將進站，請儘速到月台候車，謝謝您的支持與配合。</t>
    <phoneticPr fontId="1" type="noConversion"/>
  </si>
  <si>
    <t>各位旅客請注意！各位旅客請注意！往蘆洲方向最後一班列車即將發車，請儘速上車，謝謝。</t>
    <phoneticPr fontId="1" type="noConversion"/>
  </si>
  <si>
    <t>末班車將發車_往蘆洲</t>
    <phoneticPr fontId="1" type="noConversion"/>
  </si>
  <si>
    <t>末班車將進站_往蘆洲</t>
    <phoneticPr fontId="1" type="noConversion"/>
  </si>
  <si>
    <t>末班車已走了_往蘆洲</t>
    <phoneticPr fontId="1" type="noConversion"/>
  </si>
  <si>
    <t>各位旅客請注意！各位旅客請注意！往忠孝新生方向最後一班列車即將進站，請儘速到月台候車，謝謝您的支持與配合。</t>
    <phoneticPr fontId="1" type="noConversion"/>
  </si>
  <si>
    <t>末班車將進站_往忠孝新生</t>
    <phoneticPr fontId="1" type="noConversion"/>
  </si>
  <si>
    <t>末班車將發車_往忠孝新生</t>
    <phoneticPr fontId="1" type="noConversion"/>
  </si>
  <si>
    <t>末班車已走了_往忠孝新生</t>
    <phoneticPr fontId="1" type="noConversion"/>
  </si>
  <si>
    <t>您好，往輔大方向已無列車運行，往輔大方向已無列車運行，謝謝。</t>
    <phoneticPr fontId="1" type="noConversion"/>
  </si>
  <si>
    <t>末班車將發車_往輔大方</t>
    <phoneticPr fontId="1" type="noConversion"/>
  </si>
  <si>
    <t>末班車已走了_往輔大方</t>
    <phoneticPr fontId="1" type="noConversion"/>
  </si>
  <si>
    <t>末班車將進站_往輔大方</t>
    <phoneticPr fontId="1" type="noConversion"/>
  </si>
  <si>
    <t>各位旅客請注意，目前一月台的列車為故障列車，不提供載客服務，請不要上車，下部列車即將進站。</t>
    <phoneticPr fontId="1" type="noConversion"/>
  </si>
  <si>
    <t>第一月台列車故障</t>
    <phoneticPr fontId="1" type="noConversion"/>
  </si>
  <si>
    <t>第二月台列車故障</t>
    <phoneticPr fontId="1" type="noConversion"/>
  </si>
  <si>
    <t>往新北產業園區方向的旅客請注意，一月台即將進站的列車因行車調度不提供載客服務，請在月台上稍後。</t>
    <phoneticPr fontId="1" type="noConversion"/>
  </si>
  <si>
    <t>行車調度_往新北產業園區</t>
    <phoneticPr fontId="1" type="noConversion"/>
  </si>
  <si>
    <t>往大坪林方向的旅客請注意，二月台即將進站的列車因行車調度不提供載客服務，請在月台上稍後。</t>
    <phoneticPr fontId="1" type="noConversion"/>
  </si>
  <si>
    <t>行車調度_往大坪林</t>
    <phoneticPr fontId="1" type="noConversion"/>
  </si>
  <si>
    <t>各位旅客請注意，一月台即將進站的列車不提供載客服務，往新北產業園區方向的旅客請至二月台候車。</t>
    <phoneticPr fontId="1" type="noConversion"/>
  </si>
  <si>
    <t xml:space="preserve">一月台不載客請至二月台_往新北產業園區 </t>
    <phoneticPr fontId="1" type="noConversion"/>
  </si>
  <si>
    <t xml:space="preserve">二月台不載客請至一月台_往新北產業園區 </t>
    <phoneticPr fontId="1" type="noConversion"/>
  </si>
  <si>
    <t xml:space="preserve">二月台不載客請稍後_往新北產業園區 </t>
    <phoneticPr fontId="1" type="noConversion"/>
  </si>
  <si>
    <t xml:space="preserve">一月台不載客請稍後_往新北產業園區 </t>
    <phoneticPr fontId="1" type="noConversion"/>
  </si>
  <si>
    <t>各位旅客請注意，一月台即將進站的列車不提供載客服務，往大坪林方向的旅客請至二月台候車。</t>
    <phoneticPr fontId="1" type="noConversion"/>
  </si>
  <si>
    <t xml:space="preserve">一月台不載客請至二月台_往大坪林 </t>
    <phoneticPr fontId="1" type="noConversion"/>
  </si>
  <si>
    <t xml:space="preserve">二月台不載客請至一月台_往大坪林 </t>
    <phoneticPr fontId="1" type="noConversion"/>
  </si>
  <si>
    <t>各位旅客請注意，因月台門故障，請您依現場人員引導上下列車。</t>
    <phoneticPr fontId="1" type="noConversion"/>
  </si>
  <si>
    <t>月台門故障</t>
    <phoneticPr fontId="1" type="noConversion"/>
  </si>
  <si>
    <t>各位旅客請注意，先前列車異常事件已排除，全線恢復運轉，目前列車班距調整中，請您於月台上稍後。</t>
    <phoneticPr fontId="1" type="noConversion"/>
  </si>
  <si>
    <t>各位旅客請注意，先前系統異常事件已排除，全線恢復運轉，目前列車班距調整中，請您於月台上稍後。</t>
    <phoneticPr fontId="1" type="noConversion"/>
  </si>
  <si>
    <t>列車異常事件已排除_班距調整中</t>
    <phoneticPr fontId="1" type="noConversion"/>
  </si>
  <si>
    <t>列車異常事件已排除_全線恢復運轉</t>
    <phoneticPr fontId="1" type="noConversion"/>
  </si>
  <si>
    <t>各位旅客您好，持電子票證行經環狀線路段免費，使用單程票則依里程收費。</t>
    <phoneticPr fontId="1" type="noConversion"/>
  </si>
  <si>
    <t>電子票環狀線免費</t>
    <phoneticPr fontId="1" type="noConversion"/>
  </si>
  <si>
    <t>各位旅客您好，本日環狀線免費試乘時間為上午10點到下午4點，歡迎多加利用。</t>
    <phoneticPr fontId="1" type="noConversion"/>
  </si>
  <si>
    <t>免費試乘時間</t>
    <phoneticPr fontId="1" type="noConversion"/>
  </si>
  <si>
    <t>各位旅客您好，本日環狀線免費試乘時間將於下午4點結束，請把握時間搭乘。</t>
    <phoneticPr fontId="1" type="noConversion"/>
  </si>
  <si>
    <t>免費試乘結束</t>
    <phoneticPr fontId="1" type="noConversion"/>
  </si>
  <si>
    <t>各位旅客您好，本日環狀線免費試乘時間已結束，下車後請依站務人員引導出站。</t>
    <phoneticPr fontId="1" type="noConversion"/>
  </si>
  <si>
    <t>費試乘時間已結束</t>
    <phoneticPr fontId="1" type="noConversion"/>
  </si>
  <si>
    <t>往新北產業園區方向的旅客請注意，一月台即將進站的列車因車門異常，若部分車門未開啟，請由正常開啟的車門上下車。</t>
    <phoneticPr fontId="1" type="noConversion"/>
  </si>
  <si>
    <t>車門異常</t>
    <phoneticPr fontId="1" type="noConversion"/>
  </si>
  <si>
    <t>各位旅客您好，環狀線系統為自動駕駛，當關門警示音響起，請勿再進出車門。</t>
    <phoneticPr fontId="1" type="noConversion"/>
  </si>
  <si>
    <t>自動駕駛</t>
    <phoneticPr fontId="1" type="noConversion"/>
  </si>
  <si>
    <t>您好!下雨期間車站電聯車受風雨引響，地板較濕請小心行走，謝謝!</t>
    <phoneticPr fontId="1" type="noConversion"/>
  </si>
  <si>
    <t>地板較濕</t>
    <phoneticPr fontId="1" type="noConversion"/>
  </si>
  <si>
    <t>您好!請分散位置候車，遵守先下後上的乘車秩序。</t>
    <phoneticPr fontId="1" type="noConversion"/>
  </si>
  <si>
    <t>先下後上</t>
    <phoneticPr fontId="1" type="noConversion"/>
  </si>
  <si>
    <t>您好!現在旅客眾多，上車時請盡量往車廂內部移動，到站時站立於車門旁的旅客請先禮讓車內旅客下車，謝謝!</t>
    <phoneticPr fontId="1" type="noConversion"/>
  </si>
  <si>
    <t>車廂內部移動</t>
    <phoneticPr fontId="1" type="noConversion"/>
  </si>
  <si>
    <t>您好，請往車廂內部移動，將後背包提於手上或置於前方，並勿倚靠車門。</t>
    <phoneticPr fontId="1" type="noConversion"/>
  </si>
  <si>
    <t>勿倚靠車門</t>
    <phoneticPr fontId="1" type="noConversion"/>
  </si>
  <si>
    <t>發生性騷擾行為請冷靜收證勇敢制止，並通報服務人員協助處理。</t>
    <phoneticPr fontId="1" type="noConversion"/>
  </si>
  <si>
    <t>性騷擾</t>
    <phoneticPr fontId="1" type="noConversion"/>
  </si>
  <si>
    <t>您好!下雨期間請小心地面濕滑慢速行走，並將雨傘妥善收納，謝謝。</t>
    <phoneticPr fontId="1" type="noConversion"/>
  </si>
  <si>
    <t>地面濕滑</t>
    <phoneticPr fontId="1" type="noConversion"/>
  </si>
  <si>
    <t>您好，使用隨身電子產品請戴耳機，與人交談請降低音量。</t>
    <phoneticPr fontId="1" type="noConversion"/>
  </si>
  <si>
    <t>降低音量</t>
    <phoneticPr fontId="1" type="noConversion"/>
  </si>
  <si>
    <t>您好，穿著長裙、長褲或軟膠鞋的旅客，請注意電扶梯踏階邊緣。</t>
    <phoneticPr fontId="1" type="noConversion"/>
  </si>
  <si>
    <t>踏階邊緣</t>
    <phoneticPr fontId="1" type="noConversion"/>
  </si>
  <si>
    <t>發現異常狀況時，冷靜勿驚慌，勿奔跑推擠，將正確的訊息告知其他旅客，並通報站車人員。</t>
    <phoneticPr fontId="1" type="noConversion"/>
  </si>
  <si>
    <t>發現異常狀況</t>
    <phoneticPr fontId="1" type="noConversion"/>
  </si>
  <si>
    <t>您好!如您預有單獨搭乘捷運的視障旅客，請您協助引導至詢問處，站務人員將協助視障旅客乘車，謝謝。</t>
    <phoneticPr fontId="1" type="noConversion"/>
  </si>
  <si>
    <t>視障旅客</t>
    <phoneticPr fontId="1" type="noConversion"/>
  </si>
  <si>
    <t>您好，有感冒症狀或身體不適的旅客，請戴口罩。</t>
    <phoneticPr fontId="1" type="noConversion"/>
  </si>
  <si>
    <t>戴口罩</t>
    <phoneticPr fontId="1" type="noConversion"/>
  </si>
  <si>
    <t>您好!為維護您與其他旅客安全，在捷運站內請勿奔跑，謝謝。</t>
    <phoneticPr fontId="1" type="noConversion"/>
  </si>
  <si>
    <t>勿奔跑</t>
    <phoneticPr fontId="1" type="noConversion"/>
  </si>
  <si>
    <t>您好!請禮讓輪椅旅客、孕婦及年長者優先使用無障礙閘門、電梯，謝謝!</t>
    <phoneticPr fontId="1" type="noConversion"/>
  </si>
  <si>
    <t>障礙閘門</t>
    <phoneticPr fontId="1" type="noConversion"/>
  </si>
  <si>
    <t>您好!閱讀書報請避免影響其他旅客，攜帶後背包的旅客建議您將背包提於手上。</t>
    <phoneticPr fontId="1" type="noConversion"/>
  </si>
  <si>
    <t>閱讀書報</t>
    <phoneticPr fontId="1" type="noConversion"/>
  </si>
  <si>
    <t>您好!貓空纜車因台電電力中斷暫停服務，欲搭乘者請暫勿前往，造成您的不便敬請見諒。</t>
    <phoneticPr fontId="1" type="noConversion"/>
  </si>
  <si>
    <t>貓空纜車_電力中斷</t>
    <phoneticPr fontId="1" type="noConversion"/>
  </si>
  <si>
    <t>您好!貓空纜車因地震影響暫停服務，欲搭乘者請暫勿前往，造成您的不便敬請見諒。</t>
    <phoneticPr fontId="1" type="noConversion"/>
  </si>
  <si>
    <t>貓空纜車_地震</t>
    <phoneticPr fontId="1" type="noConversion"/>
  </si>
  <si>
    <t>您好!貓空纜車因系統異常暫停服務，欲搭乘者請暫勿前往，不便之處敬請見諒。</t>
    <phoneticPr fontId="1" type="noConversion"/>
  </si>
  <si>
    <t>貓空纜車_系統異常</t>
    <phoneticPr fontId="1" type="noConversion"/>
  </si>
  <si>
    <t>您好!貓空纜車因系統電力異常暫停服務，欲搭乘者請暫勿前往，造成您的不便敬請見諒。</t>
    <phoneticPr fontId="1" type="noConversion"/>
  </si>
  <si>
    <t>貓空纜車_電力異常</t>
    <phoneticPr fontId="1" type="noConversion"/>
  </si>
  <si>
    <t>您好!貓空纜車目前已恢復營運，欲搭乘者請搭乘文湖線前往。</t>
    <phoneticPr fontId="1" type="noConversion"/>
  </si>
  <si>
    <t>貓空纜車_恢復營運</t>
    <phoneticPr fontId="1" type="noConversion"/>
  </si>
  <si>
    <t>您好!貓空纜車因強風影響暫停服務，欲搭乘者請暫勿前往，造成您的不便敬請見諒。</t>
    <phoneticPr fontId="1" type="noConversion"/>
  </si>
  <si>
    <t>貓空纜車_強風</t>
    <phoneticPr fontId="1" type="noConversion"/>
  </si>
  <si>
    <t>你好!貓空纜車因山區雷雨影響暫停服務，預搭乘者請暫勿前往，造成您的不便敬請見諒。</t>
    <phoneticPr fontId="1" type="noConversion"/>
  </si>
  <si>
    <t>貓空纜車_雷雨</t>
    <phoneticPr fontId="1" type="noConversion"/>
  </si>
  <si>
    <t>你好!貓空纜車因颱風影響暫停服務，預搭乘者請暫勿前往，造成您的不便敬請見諒。</t>
    <phoneticPr fontId="1" type="noConversion"/>
  </si>
  <si>
    <t>貓空纜車_颱風</t>
    <phoneticPr fontId="1" type="noConversion"/>
  </si>
  <si>
    <t>您好!請將座位優先禮讓給需要的旅客。</t>
    <phoneticPr fontId="1" type="noConversion"/>
  </si>
  <si>
    <t>座位優先禮讓</t>
    <phoneticPr fontId="1" type="noConversion"/>
  </si>
  <si>
    <t>您好!使用3C產品時，請避免影響其他旅客上下車。</t>
    <phoneticPr fontId="1" type="noConversion"/>
  </si>
  <si>
    <t>3C產品</t>
    <phoneticPr fontId="1" type="noConversion"/>
  </si>
  <si>
    <t>近期內計劃或曾赴武漢等鄰近區域民眾，應避免出入傳統市場、醫院等人多的公共場所及接觸野生和禽畜類動物，同時落實肥皂勤洗手、配戴口罩維持呼吸道衛生。</t>
    <phoneticPr fontId="1" type="noConversion"/>
  </si>
  <si>
    <t>赴武漢</t>
    <phoneticPr fontId="1" type="noConversion"/>
  </si>
  <si>
    <t>搭乘捷運請全程配戴口罩，勸導不聽者，最高罰新臺幣1萬5000元，並拒絕運送。</t>
    <phoneticPr fontId="1" type="noConversion"/>
  </si>
  <si>
    <t>配戴口罩</t>
    <phoneticPr fontId="1" type="noConversion"/>
  </si>
  <si>
    <t>防疫期間，請避免出入人多場所，並保持室內1.5公尺、室外1公尺的安全距離，以及搭乘大眾運輸工具應配戴口罩，勞動部關心您。</t>
    <phoneticPr fontId="1" type="noConversion"/>
  </si>
  <si>
    <t>安全距離</t>
  </si>
  <si>
    <t>往大坪林方向的旅客請注意，二月台即將進站的列車因車門異常，若部分車門未開啟，請由正常開啟的車門上下車。</t>
    <phoneticPr fontId="1" type="noConversion"/>
  </si>
  <si>
    <t>站立於車廂無法維持1.5公尺社交距離時，請配戴口罩。</t>
    <phoneticPr fontId="1" type="noConversion"/>
  </si>
  <si>
    <t>社交距離</t>
    <phoneticPr fontId="1" type="noConversion"/>
  </si>
  <si>
    <t>提高警覺注意身邊人、事、物，遇異常狀況，冷靜勿驚慌、不推擠，立即撥打110及通報站車人員。</t>
    <phoneticPr fontId="1" type="noConversion"/>
  </si>
  <si>
    <t>提高警覺</t>
    <phoneticPr fontId="1" type="noConversion"/>
  </si>
  <si>
    <t>搭乘捷運進閘門時，請配戴口罩。</t>
    <phoneticPr fontId="1" type="noConversion"/>
  </si>
  <si>
    <t>進閘門戴口罩</t>
    <phoneticPr fontId="1" type="noConversion"/>
  </si>
  <si>
    <t>您好，上下車、搭乘電扶梯、上下樓梯或行走時，不要使用手機，避免踩空跌倒。</t>
    <phoneticPr fontId="1" type="noConversion"/>
  </si>
  <si>
    <t>不要使用手機</t>
    <phoneticPr fontId="1" type="noConversion"/>
  </si>
  <si>
    <t>進入捷運站請全程戴好口罩，車廂內減少交談。</t>
    <phoneticPr fontId="1" type="noConversion"/>
  </si>
  <si>
    <t>減少交談</t>
    <phoneticPr fontId="1" type="noConversion"/>
  </si>
  <si>
    <t>其他</t>
    <phoneticPr fontId="1" type="noConversion"/>
  </si>
  <si>
    <t>配合中央秋冬防疫專案，進入大眾運輸場所應佩戴口罩，勸導不聽者，最高罰新臺幣1萬5千元。</t>
    <phoneticPr fontId="1" type="noConversion"/>
  </si>
  <si>
    <t>秋冬防疫專案</t>
    <phoneticPr fontId="1" type="noConversion"/>
  </si>
  <si>
    <t>配合市府防疫政策，5/15起暫停開放動物園、貓空纜車、兒童新樂園、臺北小巨蛋、北投會館、捷韻國際會議廳等場館。</t>
    <phoneticPr fontId="1" type="noConversion"/>
  </si>
  <si>
    <t>暫停開放</t>
    <phoneticPr fontId="1" type="noConversion"/>
  </si>
  <si>
    <t>配合中央疫規定，進入大眾運輸場所應佩戴口罩，勸導不聽者，最高罰新臺幣1萬5千元。</t>
    <phoneticPr fontId="1" type="noConversion"/>
  </si>
  <si>
    <t>戴口罩罰新臺幣</t>
    <phoneticPr fontId="1" type="noConversion"/>
  </si>
  <si>
    <t>因應彈性上班，可多利用07:30前及08:30後搭車，並多利用旅客較少的頭尾車廂已分散人潮。。</t>
    <phoneticPr fontId="1" type="noConversion"/>
  </si>
  <si>
    <t>彈性上班</t>
    <phoneticPr fontId="1" type="noConversion"/>
  </si>
  <si>
    <t>各位旅客請注意：因風速已達停駛標準，環狀線將暫時停止營運，請旅客改搭其他交通工具，並請依站務人員引導出站，持單程票的旅客可於七日內退票，持悠遊卡的旅客不扣除本次費用，可以繼續使用，造成您的不便，敬請見諒。</t>
    <phoneticPr fontId="1" type="noConversion"/>
  </si>
  <si>
    <t>風速已達停駛標準</t>
    <phoneticPr fontId="1" type="noConversion"/>
  </si>
  <si>
    <t>各位旅客請注意：颱風期間為確保您的安全，當風力過大時，高架、平面區段將暫停營運，請您隨時留意車站訊息。</t>
    <phoneticPr fontId="1" type="noConversion"/>
  </si>
  <si>
    <t>颱風期間</t>
    <phoneticPr fontId="1" type="noConversion"/>
  </si>
  <si>
    <t>語音名稱</t>
    <phoneticPr fontId="1" type="noConversion"/>
  </si>
  <si>
    <t>voice_name</t>
    <phoneticPr fontId="1" type="noConversion"/>
  </si>
  <si>
    <t>region_name</t>
  </si>
  <si>
    <t>place_name</t>
  </si>
  <si>
    <t>地區名稱</t>
    <phoneticPr fontId="1" type="noConversion"/>
  </si>
  <si>
    <t>X</t>
  </si>
  <si>
    <t>未知</t>
  </si>
  <si>
    <t>通訊設備機房</t>
  </si>
  <si>
    <t>行控中心</t>
  </si>
  <si>
    <t>通訊維修員工室</t>
  </si>
  <si>
    <t>號誌工廠</t>
  </si>
  <si>
    <t>備援行控中心</t>
  </si>
  <si>
    <t>通訊設備室</t>
  </si>
  <si>
    <t>大廳站內</t>
  </si>
  <si>
    <t>大廳站外</t>
  </si>
  <si>
    <t>連通道</t>
  </si>
  <si>
    <t>詢問處</t>
  </si>
  <si>
    <t>編號</t>
    <phoneticPr fontId="1" type="noConversion"/>
  </si>
  <si>
    <t>DepotMCB</t>
    <phoneticPr fontId="1" type="noConversion"/>
  </si>
  <si>
    <t>DepotREP</t>
    <phoneticPr fontId="1" type="noConversion"/>
  </si>
  <si>
    <t>LG08</t>
    <phoneticPr fontId="4" type="noConversion"/>
  </si>
  <si>
    <t>G11</t>
    <phoneticPr fontId="4" type="noConversion"/>
  </si>
  <si>
    <t>Y11</t>
    <phoneticPr fontId="4" type="noConversion"/>
  </si>
  <si>
    <t>地區編號</t>
    <phoneticPr fontId="1" type="noConversion"/>
  </si>
  <si>
    <t>自動電話系統</t>
  </si>
  <si>
    <t>錄音設備系統</t>
  </si>
  <si>
    <t>閉路電視系統</t>
  </si>
  <si>
    <t>點矩陣顯示器系統</t>
  </si>
  <si>
    <t>通訊系統多功能操作系統</t>
  </si>
  <si>
    <t>列車通訊系統</t>
  </si>
  <si>
    <t>電聯車系統</t>
  </si>
  <si>
    <t>CLOCK</t>
  </si>
  <si>
    <t>系統名稱</t>
    <phoneticPr fontId="1" type="noConversion"/>
  </si>
  <si>
    <t>通訊子系統</t>
    <phoneticPr fontId="1" type="noConversion"/>
  </si>
  <si>
    <t>Postgre</t>
    <phoneticPr fontId="1" type="noConversion"/>
  </si>
  <si>
    <t>Csharp</t>
    <phoneticPr fontId="1" type="noConversion"/>
  </si>
  <si>
    <t>點矩陣-列車訊息</t>
    <phoneticPr fontId="1" type="noConversion"/>
  </si>
  <si>
    <t>sys_seat</t>
  </si>
  <si>
    <t>席位列表</t>
    <phoneticPr fontId="1" type="noConversion"/>
  </si>
  <si>
    <t>steat_id</t>
    <phoneticPr fontId="1" type="noConversion"/>
  </si>
  <si>
    <t>seat_name</t>
    <phoneticPr fontId="1" type="noConversion"/>
  </si>
  <si>
    <t>席位編號</t>
  </si>
  <si>
    <t>席位編號</t>
    <phoneticPr fontId="1" type="noConversion"/>
  </si>
  <si>
    <t>席位名稱</t>
    <phoneticPr fontId="1" type="noConversion"/>
  </si>
  <si>
    <t>席位人員</t>
    <phoneticPr fontId="1" type="noConversion"/>
  </si>
  <si>
    <t>seat_stuff</t>
    <phoneticPr fontId="1" type="noConversion"/>
  </si>
  <si>
    <t>設備編號-cmft</t>
    <phoneticPr fontId="1" type="noConversion"/>
  </si>
  <si>
    <t>equip_id_cmft</t>
    <phoneticPr fontId="1" type="noConversion"/>
  </si>
  <si>
    <t>equip_id_dlts</t>
    <phoneticPr fontId="1" type="noConversion"/>
  </si>
  <si>
    <t>equip_id_epabx</t>
    <phoneticPr fontId="1" type="noConversion"/>
  </si>
  <si>
    <t>equip_id_tetra</t>
    <phoneticPr fontId="1" type="noConversion"/>
  </si>
  <si>
    <t>設備編號-dlts</t>
    <phoneticPr fontId="1" type="noConversion"/>
  </si>
  <si>
    <t>設備編號-epabx</t>
    <phoneticPr fontId="1" type="noConversion"/>
  </si>
  <si>
    <t>設備編號-tetra</t>
    <phoneticPr fontId="1" type="noConversion"/>
  </si>
  <si>
    <t>sys_seat_equip</t>
  </si>
  <si>
    <t>sys_seat_equip</t>
    <phoneticPr fontId="1" type="noConversion"/>
  </si>
  <si>
    <t>所有車站的資料</t>
    <phoneticPr fontId="1" type="noConversion"/>
  </si>
  <si>
    <t>所有車站的區域資料</t>
    <phoneticPr fontId="1" type="noConversion"/>
  </si>
  <si>
    <t>席位資訊</t>
    <phoneticPr fontId="1" type="noConversion"/>
  </si>
  <si>
    <t>席位的所有設備資訊</t>
    <phoneticPr fontId="1" type="noConversion"/>
  </si>
  <si>
    <t>sys_seate</t>
    <phoneticPr fontId="1" type="noConversion"/>
  </si>
  <si>
    <t>CMFT畫面類別</t>
    <phoneticPr fontId="1" type="noConversion"/>
  </si>
  <si>
    <t>類別名稱</t>
    <phoneticPr fontId="1" type="noConversion"/>
  </si>
  <si>
    <t>CMFT的所有功能列表</t>
    <phoneticPr fontId="1" type="noConversion"/>
  </si>
  <si>
    <t>角色列表</t>
    <phoneticPr fontId="1" type="noConversion"/>
  </si>
  <si>
    <t>角色權限列表</t>
    <phoneticPr fontId="1" type="noConversion"/>
  </si>
  <si>
    <t>CMFT操作員帳號</t>
    <phoneticPr fontId="1" type="noConversion"/>
  </si>
  <si>
    <t>廣播的選擇對象列表(以區域為單位)</t>
    <phoneticPr fontId="1" type="noConversion"/>
  </si>
  <si>
    <t>廣播群組列表</t>
    <phoneticPr fontId="1" type="noConversion"/>
  </si>
  <si>
    <t>廣播群組的對象資料</t>
    <phoneticPr fontId="1" type="noConversion"/>
  </si>
  <si>
    <t>廣播的預錄音檔,CMFT操作人員僅可編輯預錄廣播的名稱</t>
    <phoneticPr fontId="1" type="noConversion"/>
  </si>
  <si>
    <t>廣播的語音排程</t>
    <phoneticPr fontId="1" type="noConversion"/>
  </si>
  <si>
    <t>近期告警紀錄,CMFT操作人員可改變確認狀態</t>
    <phoneticPr fontId="1" type="noConversion"/>
  </si>
  <si>
    <t>歷史告警紀錄,供CMFT操作人員查找</t>
    <phoneticPr fontId="1" type="noConversion"/>
  </si>
  <si>
    <t>所有告警的樣式</t>
    <phoneticPr fontId="1" type="noConversion"/>
  </si>
  <si>
    <t>CMFT操作人員所做的所有操作(超過30天)</t>
    <phoneticPr fontId="1" type="noConversion"/>
  </si>
  <si>
    <t>CMFT操作人員所做的所有操作(30天內)</t>
    <phoneticPr fontId="1" type="noConversion"/>
  </si>
  <si>
    <t>廣播語音排程的語音列表及選擇對象列表</t>
    <phoneticPr fontId="1" type="noConversion"/>
  </si>
  <si>
    <t>席位設備列表</t>
    <phoneticPr fontId="1" type="noConversion"/>
  </si>
  <si>
    <t>seat_id</t>
  </si>
  <si>
    <t>tel_number</t>
  </si>
  <si>
    <t>cur_call_status</t>
  </si>
  <si>
    <t>話機號碼</t>
    <phoneticPr fontId="1" type="noConversion"/>
  </si>
  <si>
    <t>當前通話狀態</t>
    <phoneticPr fontId="1" type="noConversion"/>
  </si>
  <si>
    <t>存放要發送之即時訊息內容,供server取用</t>
    <phoneticPr fontId="1" type="noConversion"/>
  </si>
  <si>
    <t>列車用預錄訊息內容,為固定數量,可供CMFT操作員編輯</t>
    <phoneticPr fontId="1" type="noConversion"/>
  </si>
  <si>
    <t>點矩陣的訊息排程</t>
    <phoneticPr fontId="1" type="noConversion"/>
  </si>
  <si>
    <t>點矩陣的訊息排程的放內容</t>
    <phoneticPr fontId="1" type="noConversion"/>
  </si>
  <si>
    <t>sys_seat</t>
    <phoneticPr fontId="1" type="noConversion"/>
  </si>
  <si>
    <t>seat_id</t>
    <phoneticPr fontId="1" type="noConversion"/>
  </si>
  <si>
    <t>tel_number</t>
    <phoneticPr fontId="1" type="noConversion"/>
  </si>
  <si>
    <t>cur_call_status</t>
    <phoneticPr fontId="1" type="noConversion"/>
  </si>
  <si>
    <t>直線電話</t>
    <phoneticPr fontId="1" type="noConversion"/>
  </si>
  <si>
    <t>通話狀態</t>
    <phoneticPr fontId="1" type="noConversion"/>
  </si>
  <si>
    <t>通話中</t>
    <phoneticPr fontId="1" type="noConversion"/>
  </si>
  <si>
    <t>通話保留</t>
    <phoneticPr fontId="1" type="noConversion"/>
  </si>
  <si>
    <t>待接聽</t>
    <phoneticPr fontId="1" type="noConversion"/>
  </si>
  <si>
    <t>閒置</t>
    <phoneticPr fontId="1" type="noConversion"/>
  </si>
  <si>
    <t>色碼</t>
    <phoneticPr fontId="1" type="noConversion"/>
  </si>
  <si>
    <t>56, 176, 53</t>
    <phoneticPr fontId="1" type="noConversion"/>
  </si>
  <si>
    <t>1, 122, 177</t>
    <phoneticPr fontId="1" type="noConversion"/>
  </si>
  <si>
    <t>244, 185, 25</t>
    <phoneticPr fontId="1" type="noConversion"/>
  </si>
  <si>
    <t>97, 97, 97</t>
    <phoneticPr fontId="1" type="noConversion"/>
  </si>
  <si>
    <t>dlts_caller_display</t>
  </si>
  <si>
    <t>dlts_caller_display</t>
    <phoneticPr fontId="1" type="noConversion"/>
  </si>
  <si>
    <t>dlts_seat_status</t>
    <phoneticPr fontId="1" type="noConversion"/>
  </si>
  <si>
    <t>直線電話席位通話狀態</t>
    <phoneticPr fontId="1" type="noConversion"/>
  </si>
  <si>
    <t>直線電話來電顯示</t>
    <phoneticPr fontId="1" type="noConversion"/>
  </si>
  <si>
    <t>0:通話中 3:閒置</t>
    <phoneticPr fontId="1" type="noConversion"/>
  </si>
  <si>
    <t>caller_number</t>
    <phoneticPr fontId="1" type="noConversion"/>
  </si>
  <si>
    <t>受話方直線電話號碼</t>
    <phoneticPr fontId="1" type="noConversion"/>
  </si>
  <si>
    <t>發話方直線電話號碼</t>
    <phoneticPr fontId="1" type="noConversion"/>
  </si>
  <si>
    <t>受話方狀態</t>
    <phoneticPr fontId="1" type="noConversion"/>
  </si>
  <si>
    <t>dlts_caller_display</t>
    <phoneticPr fontId="1" type="noConversion"/>
  </si>
  <si>
    <t>當前通話號碼</t>
    <phoneticPr fontId="1" type="noConversion"/>
  </si>
  <si>
    <t>可有兩組5位數號碼</t>
    <phoneticPr fontId="1" type="noConversion"/>
  </si>
  <si>
    <t>dlts_caller_log</t>
  </si>
  <si>
    <t>dlts_caller_log</t>
    <phoneticPr fontId="1" type="noConversion"/>
  </si>
  <si>
    <t>直線電話通話紀錄</t>
    <phoneticPr fontId="1" type="noConversion"/>
  </si>
  <si>
    <t>通話開始時間</t>
  </si>
  <si>
    <t>通話結束時間</t>
  </si>
  <si>
    <t>start_time</t>
    <phoneticPr fontId="1" type="noConversion"/>
  </si>
  <si>
    <t>end_time</t>
    <phoneticPr fontId="1" type="noConversion"/>
  </si>
  <si>
    <t>dlts_caller_log</t>
    <phoneticPr fontId="1" type="noConversion"/>
  </si>
  <si>
    <t>存放即時的已發送內容</t>
    <phoneticPr fontId="1" type="noConversion"/>
  </si>
  <si>
    <t>新增</t>
  </si>
  <si>
    <t>編輯</t>
  </si>
  <si>
    <t>刪除</t>
  </si>
  <si>
    <t>◯</t>
  </si>
  <si>
    <t>equip_id</t>
  </si>
  <si>
    <t>equip_id</t>
    <phoneticPr fontId="1" type="noConversion"/>
  </si>
  <si>
    <t>system_id</t>
  </si>
  <si>
    <t>sys_region</t>
    <phoneticPr fontId="1" type="noConversion"/>
  </si>
  <si>
    <t>區域列表</t>
    <phoneticPr fontId="1" type="noConversion"/>
  </si>
  <si>
    <t>region_id</t>
    <phoneticPr fontId="1" type="noConversion"/>
  </si>
  <si>
    <t>region_name</t>
    <phoneticPr fontId="1" type="noConversion"/>
  </si>
  <si>
    <t>區域名稱</t>
  </si>
  <si>
    <t>sys_region</t>
    <phoneticPr fontId="1" type="noConversion"/>
  </si>
  <si>
    <t>備註</t>
    <phoneticPr fontId="1" type="noConversion"/>
  </si>
  <si>
    <t>所有設備詳細資料</t>
    <phoneticPr fontId="1" type="noConversion"/>
  </si>
  <si>
    <t>設備編號</t>
    <phoneticPr fontId="1" type="noConversion"/>
  </si>
  <si>
    <t>PK</t>
    <phoneticPr fontId="1" type="noConversion"/>
  </si>
  <si>
    <t>remark</t>
    <phoneticPr fontId="1" type="noConversion"/>
  </si>
  <si>
    <t>四層</t>
  </si>
  <si>
    <t>五層</t>
  </si>
  <si>
    <t>地下一層</t>
  </si>
  <si>
    <t>月台層</t>
  </si>
  <si>
    <t>地面層</t>
  </si>
  <si>
    <t>穿堂層</t>
  </si>
  <si>
    <t>軌道層</t>
  </si>
  <si>
    <t>頂版層</t>
  </si>
  <si>
    <t>設備層</t>
  </si>
  <si>
    <t>穿堂夾層</t>
  </si>
  <si>
    <t>地區名稱</t>
  </si>
  <si>
    <t>地點名稱</t>
  </si>
  <si>
    <t>地點名稱</t>
    <phoneticPr fontId="1" type="noConversion"/>
  </si>
  <si>
    <t>系統編號</t>
  </si>
  <si>
    <t>region_id</t>
    <phoneticPr fontId="1" type="noConversion"/>
  </si>
  <si>
    <t>地區編號</t>
  </si>
  <si>
    <t>系統名稱</t>
  </si>
  <si>
    <t>system_name</t>
  </si>
  <si>
    <t>設備類型</t>
  </si>
  <si>
    <t>equip_type</t>
  </si>
  <si>
    <t>排序</t>
    <phoneticPr fontId="1" type="noConversion"/>
  </si>
  <si>
    <t>金城機廠_管理中心大樓</t>
    <phoneticPr fontId="1" type="noConversion"/>
  </si>
  <si>
    <t>金城機廠_維修工廠</t>
    <phoneticPr fontId="1" type="noConversion"/>
  </si>
  <si>
    <t>中正紀念堂站</t>
    <phoneticPr fontId="1" type="noConversion"/>
  </si>
  <si>
    <t>植物園站</t>
    <phoneticPr fontId="4" type="noConversion"/>
  </si>
  <si>
    <t>廈安站</t>
    <phoneticPr fontId="4" type="noConversion"/>
  </si>
  <si>
    <t>加蚋站</t>
    <phoneticPr fontId="4" type="noConversion"/>
  </si>
  <si>
    <t>永和永平國小站</t>
    <phoneticPr fontId="4" type="noConversion"/>
  </si>
  <si>
    <t>中和站</t>
    <phoneticPr fontId="4" type="noConversion"/>
  </si>
  <si>
    <t>連城錦和站</t>
    <phoneticPr fontId="4" type="noConversion"/>
  </si>
  <si>
    <t>中和高中站</t>
    <phoneticPr fontId="4" type="noConversion"/>
  </si>
  <si>
    <t>莒光站</t>
    <phoneticPr fontId="4" type="noConversion"/>
  </si>
  <si>
    <t>中正紀念堂站(信松線)</t>
    <phoneticPr fontId="4" type="noConversion"/>
  </si>
  <si>
    <t>中和站(環狀線)</t>
    <phoneticPr fontId="4" type="noConversion"/>
  </si>
  <si>
    <t>place_name</t>
    <phoneticPr fontId="4" type="noConversion"/>
  </si>
  <si>
    <t>位置清單</t>
    <phoneticPr fontId="1" type="noConversion"/>
  </si>
  <si>
    <t>sys_equip_status</t>
  </si>
  <si>
    <t>sys_equip_status</t>
    <phoneticPr fontId="1" type="noConversion"/>
  </si>
  <si>
    <t>sys_equip_status</t>
    <phoneticPr fontId="1" type="noConversion"/>
  </si>
  <si>
    <t>設備狀態列表</t>
    <phoneticPr fontId="1" type="noConversion"/>
  </si>
  <si>
    <t>equip_status</t>
    <phoneticPr fontId="1" type="noConversion"/>
  </si>
  <si>
    <t>設備狀態</t>
    <phoneticPr fontId="1" type="noConversion"/>
  </si>
  <si>
    <t>N</t>
    <phoneticPr fontId="1" type="noConversion"/>
  </si>
  <si>
    <t>alarm_list_id</t>
    <phoneticPr fontId="1" type="noConversion"/>
  </si>
  <si>
    <t>check_account_id</t>
  </si>
  <si>
    <t>資料表詳細</t>
    <phoneticPr fontId="1" type="noConversion"/>
  </si>
  <si>
    <t>告警</t>
    <phoneticPr fontId="1" type="noConversion"/>
  </si>
  <si>
    <t>告警等級表示</t>
    <phoneticPr fontId="1" type="noConversion"/>
  </si>
  <si>
    <t>重大</t>
    <phoneticPr fontId="1" type="noConversion"/>
  </si>
  <si>
    <t>輕微</t>
    <phoneticPr fontId="1" type="noConversion"/>
  </si>
  <si>
    <t>中度</t>
    <phoneticPr fontId="1" type="noConversion"/>
  </si>
  <si>
    <t>check_account_name</t>
    <phoneticPr fontId="1" type="noConversion"/>
  </si>
  <si>
    <t>確認人員帳號</t>
    <phoneticPr fontId="1" type="noConversion"/>
  </si>
  <si>
    <t>確認人員姓名</t>
    <phoneticPr fontId="1" type="noConversion"/>
  </si>
  <si>
    <t>各車站的尖峰/離峰/夜間時段的音量,
資料筆數為(車站數量)*3</t>
    <phoneticPr fontId="1" type="noConversion"/>
  </si>
  <si>
    <t>資料表類別</t>
    <phoneticPr fontId="1" type="noConversion"/>
  </si>
  <si>
    <t>資料表分類</t>
    <phoneticPr fontId="1" type="noConversion"/>
  </si>
  <si>
    <t>HMI使用權限</t>
    <phoneticPr fontId="1" type="noConversion"/>
  </si>
  <si>
    <t>列車通訊系統</t>
    <phoneticPr fontId="1" type="noConversion"/>
  </si>
  <si>
    <t>Sync</t>
    <phoneticPr fontId="1" type="noConversion"/>
  </si>
  <si>
    <t>同步播送</t>
    <phoneticPr fontId="1" type="noConversion"/>
  </si>
  <si>
    <t>pa_folder_id</t>
    <phoneticPr fontId="1" type="noConversion"/>
  </si>
  <si>
    <t>dmd_message_id</t>
    <phoneticPr fontId="1" type="noConversion"/>
  </si>
  <si>
    <t>pids_message_id</t>
    <phoneticPr fontId="1" type="noConversion"/>
  </si>
  <si>
    <t>列車看板訊息編號</t>
    <phoneticPr fontId="1" type="noConversion"/>
  </si>
  <si>
    <t>車站看板訊息編號</t>
    <phoneticPr fontId="1" type="noConversion"/>
  </si>
  <si>
    <t>車站廣播語音編號</t>
    <phoneticPr fontId="1" type="noConversion"/>
  </si>
  <si>
    <t>sync_linked_setting</t>
  </si>
  <si>
    <t>sync_linked_setting</t>
    <phoneticPr fontId="1" type="noConversion"/>
  </si>
  <si>
    <t>pa_seat_id</t>
    <phoneticPr fontId="1" type="noConversion"/>
  </si>
  <si>
    <t>廣播席位編號</t>
    <phoneticPr fontId="1" type="noConversion"/>
  </si>
  <si>
    <t>is_overview</t>
    <phoneticPr fontId="1" type="noConversion"/>
  </si>
  <si>
    <t>是否顯示於總覽</t>
    <phoneticPr fontId="1" type="noConversion"/>
  </si>
  <si>
    <t>otcs_train</t>
  </si>
  <si>
    <t>otcs_train</t>
    <phoneticPr fontId="1" type="noConversion"/>
  </si>
  <si>
    <t>train_id</t>
  </si>
  <si>
    <t>列車編號</t>
  </si>
  <si>
    <t>train_number</t>
  </si>
  <si>
    <t>列車營運車號</t>
  </si>
  <si>
    <t>列車營運狀態</t>
  </si>
  <si>
    <t>train_location</t>
  </si>
  <si>
    <t>列車位置</t>
  </si>
  <si>
    <t>train_track</t>
  </si>
  <si>
    <t>列車所在軌道</t>
  </si>
  <si>
    <t>train_direction</t>
  </si>
  <si>
    <t>列車方向</t>
  </si>
  <si>
    <t>UP;DN</t>
  </si>
  <si>
    <t>列車</t>
    <phoneticPr fontId="1" type="noConversion"/>
  </si>
  <si>
    <t>UP</t>
    <phoneticPr fontId="1" type="noConversion"/>
  </si>
  <si>
    <t>DN</t>
    <phoneticPr fontId="1" type="noConversion"/>
  </si>
  <si>
    <t>列車方向</t>
    <phoneticPr fontId="1" type="noConversion"/>
  </si>
  <si>
    <t>playlist_id</t>
    <phoneticPr fontId="1" type="noConversion"/>
  </si>
  <si>
    <t>播放清單編號</t>
    <phoneticPr fontId="1" type="noConversion"/>
  </si>
  <si>
    <t>點矩陣-預錄訊息/即時訊息</t>
    <phoneticPr fontId="1" type="noConversion"/>
  </si>
  <si>
    <t>撥號中</t>
    <phoneticPr fontId="1" type="noConversion"/>
  </si>
  <si>
    <t>198, 89, 17</t>
    <phoneticPr fontId="1" type="noConversion"/>
  </si>
  <si>
    <t>page_name</t>
    <phoneticPr fontId="1" type="noConversion"/>
  </si>
  <si>
    <t>page_id</t>
    <phoneticPr fontId="1" type="noConversion"/>
  </si>
  <si>
    <t>func_id</t>
    <phoneticPr fontId="1" type="noConversion"/>
  </si>
  <si>
    <t>畫面編號</t>
    <phoneticPr fontId="1" type="noConversion"/>
  </si>
  <si>
    <t>功能編號</t>
    <phoneticPr fontId="1" type="noConversion"/>
  </si>
  <si>
    <t>cur_call_number</t>
    <phoneticPr fontId="1" type="noConversion"/>
  </si>
  <si>
    <t>called_number</t>
    <phoneticPr fontId="1" type="noConversion"/>
  </si>
  <si>
    <t>cur_caller_number</t>
    <phoneticPr fontId="1" type="noConversion"/>
  </si>
  <si>
    <t>#C65911</t>
  </si>
  <si>
    <t>#616161</t>
    <phoneticPr fontId="1" type="noConversion"/>
  </si>
  <si>
    <t>#F4B919</t>
    <phoneticPr fontId="1" type="noConversion"/>
  </si>
  <si>
    <t>#38B035</t>
    <phoneticPr fontId="1" type="noConversion"/>
  </si>
  <si>
    <t>#017AB1</t>
    <phoneticPr fontId="1" type="noConversion"/>
  </si>
  <si>
    <t>電話服務狀態</t>
  </si>
  <si>
    <t>0：空閒</t>
  </si>
  <si>
    <t>1：由忙碌轉空閒延時狀態</t>
  </si>
  <si>
    <t>3：撥出佔用</t>
  </si>
  <si>
    <t>4：撥入響鈴</t>
  </si>
  <si>
    <t>5：撥出響鈴</t>
  </si>
  <si>
    <t>6：電話接通狀態</t>
  </si>
  <si>
    <t>7：等待坐席電話掛機</t>
  </si>
  <si>
    <t>8：放音狀態</t>
  </si>
  <si>
    <t>9：話後處理</t>
  </si>
  <si>
    <t>10：保留狀態</t>
  </si>
  <si>
    <t>11：等待IVR返回狀態</t>
  </si>
  <si>
    <t>12：摘機狀態</t>
  </si>
  <si>
    <t>2：撥入佔用</t>
    <phoneticPr fontId="1" type="noConversion"/>
  </si>
  <si>
    <t>列車設備類型</t>
    <phoneticPr fontId="1" type="noConversion"/>
  </si>
  <si>
    <t>乘客通訊控制設備(TCCU)</t>
    <phoneticPr fontId="1" type="noConversion"/>
  </si>
  <si>
    <t>網路交換器(LAN Switch)</t>
    <phoneticPr fontId="1" type="noConversion"/>
  </si>
  <si>
    <t>通訊操控面盤(TOCP)</t>
  </si>
  <si>
    <t>緊急對講機(PIC)</t>
    <phoneticPr fontId="1" type="noConversion"/>
  </si>
  <si>
    <t>攝影機(Camera)</t>
    <phoneticPr fontId="1" type="noConversion"/>
  </si>
  <si>
    <t>無線傳輸設備(Wi-Fi AP)</t>
    <phoneticPr fontId="1" type="noConversion"/>
  </si>
  <si>
    <t>數位錄影設備(NVR)</t>
    <phoneticPr fontId="1" type="noConversion"/>
  </si>
  <si>
    <t>數位錄影設備(NVR)硬碟</t>
    <phoneticPr fontId="1" type="noConversion"/>
  </si>
  <si>
    <t>視訊控制設備(VMS)</t>
    <phoneticPr fontId="1" type="noConversion"/>
  </si>
  <si>
    <t>視訊控制設備(VMS)硬碟</t>
    <phoneticPr fontId="1" type="noConversion"/>
  </si>
  <si>
    <t>乙太網路交換器(Switch)</t>
    <phoneticPr fontId="1" type="noConversion"/>
  </si>
  <si>
    <t>軌旁無線傳輸設備(Wi-Fi AP)</t>
    <phoneticPr fontId="1" type="noConversion"/>
  </si>
  <si>
    <t>car_mc1</t>
    <phoneticPr fontId="1" type="noConversion"/>
  </si>
  <si>
    <t>car_m1</t>
    <phoneticPr fontId="1" type="noConversion"/>
  </si>
  <si>
    <t>car_m2</t>
    <phoneticPr fontId="1" type="noConversion"/>
  </si>
  <si>
    <t>car_mc2</t>
    <phoneticPr fontId="1" type="noConversion"/>
  </si>
  <si>
    <t>第一節車廂編號</t>
    <phoneticPr fontId="1" type="noConversion"/>
  </si>
  <si>
    <t>第二節車廂編號</t>
    <phoneticPr fontId="1" type="noConversion"/>
  </si>
  <si>
    <t>第三節車廂編號</t>
    <phoneticPr fontId="1" type="noConversion"/>
  </si>
  <si>
    <t>第四節車廂編號</t>
    <phoneticPr fontId="1" type="noConversion"/>
  </si>
  <si>
    <t>operation_status</t>
    <phoneticPr fontId="1" type="noConversion"/>
  </si>
  <si>
    <t>資料表數據(綠色代表資料筆數固定)</t>
    <phoneticPr fontId="1" type="noConversion"/>
  </si>
  <si>
    <t>色碼HEX</t>
    <phoneticPr fontId="1" type="noConversion"/>
  </si>
  <si>
    <t>otcs_event</t>
    <phoneticPr fontId="1" type="noConversion"/>
  </si>
  <si>
    <t>otcs_event_list</t>
    <phoneticPr fontId="1" type="noConversion"/>
  </si>
  <si>
    <t>列車編號</t>
    <phoneticPr fontId="1" type="noConversion"/>
  </si>
  <si>
    <t>equip_name</t>
    <phoneticPr fontId="1" type="noConversion"/>
  </si>
  <si>
    <t>event_list_id</t>
  </si>
  <si>
    <t>event_list_id</t>
    <phoneticPr fontId="1" type="noConversion"/>
  </si>
  <si>
    <t>event_source</t>
    <phoneticPr fontId="1" type="noConversion"/>
  </si>
  <si>
    <t>列車事件編號</t>
  </si>
  <si>
    <t>列車事件編號</t>
    <phoneticPr fontId="1" type="noConversion"/>
  </si>
  <si>
    <t>列車事件來源</t>
    <phoneticPr fontId="1" type="noConversion"/>
  </si>
  <si>
    <t>說明(英文)</t>
  </si>
  <si>
    <t>可能原因(中文)</t>
  </si>
  <si>
    <t>可能原因(英文)</t>
  </si>
  <si>
    <t>說明(中文)</t>
  </si>
  <si>
    <t>car_type</t>
    <phoneticPr fontId="1" type="noConversion"/>
  </si>
  <si>
    <t>設備編號</t>
  </si>
  <si>
    <t>event_id</t>
  </si>
  <si>
    <t>確認人員ID</t>
  </si>
  <si>
    <t>check_account_name</t>
  </si>
  <si>
    <t>確認人員名稱</t>
  </si>
  <si>
    <t>事件編號</t>
    <phoneticPr fontId="1" type="noConversion"/>
  </si>
  <si>
    <t>Guid生成</t>
  </si>
  <si>
    <t>event_time</t>
    <phoneticPr fontId="1" type="noConversion"/>
  </si>
  <si>
    <t>send_time</t>
    <phoneticPr fontId="1" type="noConversion"/>
  </si>
  <si>
    <t>message_type</t>
    <phoneticPr fontId="1" type="noConversion"/>
  </si>
  <si>
    <t>訊息類型</t>
    <phoneticPr fontId="1" type="noConversion"/>
  </si>
  <si>
    <t>0:預錄 1:即時</t>
    <phoneticPr fontId="1" type="noConversion"/>
  </si>
  <si>
    <t>integer</t>
    <phoneticPr fontId="1" type="noConversion"/>
  </si>
  <si>
    <t>告警狀態</t>
  </si>
  <si>
    <r>
      <t>告警級別</t>
    </r>
    <r>
      <rPr>
        <sz val="12"/>
        <color theme="1"/>
        <rFont val="Arial"/>
        <family val="2"/>
      </rPr>
      <t>1(</t>
    </r>
    <r>
      <rPr>
        <sz val="12"/>
        <color theme="1"/>
        <rFont val="新細明體"/>
        <family val="1"/>
        <charset val="136"/>
      </rPr>
      <t>高</t>
    </r>
    <r>
      <rPr>
        <sz val="12"/>
        <color theme="1"/>
        <rFont val="Arial"/>
        <family val="2"/>
      </rPr>
      <t>)</t>
    </r>
  </si>
  <si>
    <r>
      <t>告警級別</t>
    </r>
    <r>
      <rPr>
        <sz val="12"/>
        <color theme="1"/>
        <rFont val="Arial"/>
        <family val="2"/>
      </rPr>
      <t>2(</t>
    </r>
    <r>
      <rPr>
        <sz val="12"/>
        <color theme="1"/>
        <rFont val="新細明體"/>
        <family val="1"/>
        <charset val="136"/>
      </rPr>
      <t>中</t>
    </r>
    <r>
      <rPr>
        <sz val="12"/>
        <color theme="1"/>
        <rFont val="Arial"/>
        <family val="2"/>
      </rPr>
      <t>)</t>
    </r>
  </si>
  <si>
    <r>
      <t>告警級別</t>
    </r>
    <r>
      <rPr>
        <sz val="12"/>
        <color theme="1"/>
        <rFont val="Arial"/>
        <family val="2"/>
      </rPr>
      <t>3(</t>
    </r>
    <r>
      <rPr>
        <sz val="12"/>
        <color theme="1"/>
        <rFont val="新細明體"/>
        <family val="1"/>
        <charset val="136"/>
      </rPr>
      <t>低</t>
    </r>
    <r>
      <rPr>
        <sz val="12"/>
        <color theme="1"/>
        <rFont val="Arial"/>
        <family val="2"/>
      </rPr>
      <t>)</t>
    </r>
  </si>
  <si>
    <r>
      <t>出現異常</t>
    </r>
    <r>
      <rPr>
        <sz val="12"/>
        <color theme="1"/>
        <rFont val="Arial"/>
        <family val="2"/>
      </rPr>
      <t>/</t>
    </r>
    <r>
      <rPr>
        <sz val="12"/>
        <color theme="1"/>
        <rFont val="新細明體"/>
        <family val="1"/>
        <charset val="136"/>
      </rPr>
      <t>未確認</t>
    </r>
  </si>
  <si>
    <t>文字</t>
  </si>
  <si>
    <t>黑色</t>
  </si>
  <si>
    <t>底色</t>
  </si>
  <si>
    <t>紅、灰閃爍</t>
  </si>
  <si>
    <t>橘、灰閃爍</t>
  </si>
  <si>
    <t>黃、灰閃爍</t>
  </si>
  <si>
    <r>
      <t>出現異常</t>
    </r>
    <r>
      <rPr>
        <sz val="12"/>
        <color theme="1"/>
        <rFont val="Arial"/>
        <family val="2"/>
      </rPr>
      <t>/</t>
    </r>
    <r>
      <rPr>
        <sz val="12"/>
        <color theme="1"/>
        <rFont val="新細明體"/>
        <family val="1"/>
        <charset val="136"/>
      </rPr>
      <t>已確認</t>
    </r>
  </si>
  <si>
    <t>紅色</t>
  </si>
  <si>
    <t>橘色</t>
  </si>
  <si>
    <t>黃色</t>
  </si>
  <si>
    <r>
      <t>異常已恢復</t>
    </r>
    <r>
      <rPr>
        <sz val="12"/>
        <color theme="1"/>
        <rFont val="Arial"/>
        <family val="2"/>
      </rPr>
      <t>/</t>
    </r>
    <r>
      <rPr>
        <sz val="12"/>
        <color theme="1"/>
        <rFont val="新細明體"/>
        <family val="1"/>
        <charset val="136"/>
      </rPr>
      <t>未確認</t>
    </r>
  </si>
  <si>
    <t>灰色</t>
  </si>
  <si>
    <r>
      <t>異常已恢復</t>
    </r>
    <r>
      <rPr>
        <sz val="12"/>
        <color theme="1"/>
        <rFont val="Arial"/>
        <family val="2"/>
      </rPr>
      <t>/</t>
    </r>
    <r>
      <rPr>
        <sz val="12"/>
        <color theme="1"/>
        <rFont val="新細明體"/>
        <family val="1"/>
        <charset val="136"/>
      </rPr>
      <t>已確認</t>
    </r>
  </si>
  <si>
    <t>不顯示</t>
  </si>
  <si>
    <t>system_id</t>
    <phoneticPr fontId="1" type="noConversion"/>
  </si>
  <si>
    <t>所屬系統編號</t>
    <phoneticPr fontId="1" type="noConversion"/>
  </si>
  <si>
    <t>閉路電視</t>
    <phoneticPr fontId="1" type="noConversion"/>
  </si>
  <si>
    <t>otcs_equip_list</t>
  </si>
  <si>
    <t>設備名稱</t>
  </si>
  <si>
    <t>列車車廂</t>
  </si>
  <si>
    <t>camera_id</t>
  </si>
  <si>
    <t>camera_id</t>
    <phoneticPr fontId="1" type="noConversion"/>
  </si>
  <si>
    <t>對應攝影機編號</t>
  </si>
  <si>
    <t>列車列表</t>
  </si>
  <si>
    <t>列車設備列表</t>
  </si>
  <si>
    <t>otcs_event_list</t>
  </si>
  <si>
    <t>列車事件列表</t>
  </si>
  <si>
    <t>otcs_event</t>
  </si>
  <si>
    <t>列車事件</t>
  </si>
  <si>
    <t>otcs_train_camera_list</t>
  </si>
  <si>
    <t>列車攝影機列表</t>
  </si>
  <si>
    <t>以廣播內容為主要Key</t>
  </si>
  <si>
    <t>cctv_station_camera_list</t>
  </si>
  <si>
    <r>
      <rPr>
        <sz val="12"/>
        <color theme="1"/>
        <rFont val="微軟正黑體"/>
        <family val="2"/>
      </rPr>
      <t>同步播送連動內容設定</t>
    </r>
  </si>
  <si>
    <r>
      <rPr>
        <sz val="12"/>
        <color theme="1"/>
        <rFont val="微軟正黑體"/>
        <family val="2"/>
      </rPr>
      <t>閉路電視車站攝影機列表</t>
    </r>
  </si>
  <si>
    <r>
      <rPr>
        <sz val="12"/>
        <color theme="1"/>
        <rFont val="微軟正黑體"/>
        <family val="2"/>
      </rPr>
      <t>閉路電視電視牆設定</t>
    </r>
  </si>
  <si>
    <r>
      <rPr>
        <sz val="12"/>
        <color theme="1"/>
        <rFont val="新細明體"/>
        <family val="3"/>
        <charset val="128"/>
      </rPr>
      <t>◯</t>
    </r>
  </si>
  <si>
    <t>otcs_train_camera_list</t>
    <phoneticPr fontId="1" type="noConversion"/>
  </si>
  <si>
    <t>cctv_station_camera_list</t>
    <phoneticPr fontId="1" type="noConversion"/>
  </si>
  <si>
    <t>otcs_train_camera_list</t>
    <phoneticPr fontId="1" type="noConversion"/>
  </si>
  <si>
    <t>train_camera_id</t>
  </si>
  <si>
    <t>car_type</t>
  </si>
  <si>
    <t>url_100</t>
  </si>
  <si>
    <t>url_300</t>
  </si>
  <si>
    <t>camera_state</t>
  </si>
  <si>
    <t>監視器編號</t>
    <phoneticPr fontId="1" type="noConversion"/>
  </si>
  <si>
    <t>列車監視器編號</t>
    <phoneticPr fontId="1" type="noConversion"/>
  </si>
  <si>
    <t>車廂編號</t>
    <phoneticPr fontId="1" type="noConversion"/>
  </si>
  <si>
    <t>100萬畫素串流網址</t>
    <phoneticPr fontId="1" type="noConversion"/>
  </si>
  <si>
    <t>300萬畫素串流網址</t>
    <phoneticPr fontId="1" type="noConversion"/>
  </si>
  <si>
    <t>監視器狀態</t>
  </si>
  <si>
    <t>監視器狀態</t>
    <phoneticPr fontId="1" type="noConversion"/>
  </si>
  <si>
    <t>CCTV</t>
    <phoneticPr fontId="1" type="noConversion"/>
  </si>
  <si>
    <t>cctv_station_camera_list</t>
    <phoneticPr fontId="1" type="noConversion"/>
  </si>
  <si>
    <t>cctv_tvwallscreen_setting</t>
    <phoneticPr fontId="1" type="noConversion"/>
  </si>
  <si>
    <t>layout2</t>
  </si>
  <si>
    <t>layout2_camera_ids</t>
    <phoneticPr fontId="1" type="noConversion"/>
  </si>
  <si>
    <t>換頁秒數</t>
    <phoneticPr fontId="1" type="noConversion"/>
  </si>
  <si>
    <t>region_id</t>
    <phoneticPr fontId="1" type="noConversion"/>
  </si>
  <si>
    <t>region_name</t>
    <phoneticPr fontId="1" type="noConversion"/>
  </si>
  <si>
    <t>place_name</t>
    <phoneticPr fontId="1" type="noConversion"/>
  </si>
  <si>
    <t>area_name</t>
    <phoneticPr fontId="1" type="noConversion"/>
  </si>
  <si>
    <t>screen_id</t>
    <phoneticPr fontId="1" type="noConversion"/>
  </si>
  <si>
    <t>interval</t>
    <phoneticPr fontId="1" type="noConversion"/>
  </si>
  <si>
    <t>layout1</t>
    <phoneticPr fontId="1" type="noConversion"/>
  </si>
  <si>
    <t>layout1_camera_ids</t>
    <phoneticPr fontId="1" type="noConversion"/>
  </si>
  <si>
    <t>PK</t>
    <phoneticPr fontId="1" type="noConversion"/>
  </si>
  <si>
    <t>integer</t>
    <phoneticPr fontId="1" type="noConversion"/>
  </si>
  <si>
    <t>螢幕設定編號</t>
    <phoneticPr fontId="1" type="noConversion"/>
  </si>
  <si>
    <t>setting_id</t>
    <phoneticPr fontId="1" type="noConversion"/>
  </si>
  <si>
    <t>車站監視器編號</t>
    <phoneticPr fontId="1" type="noConversion"/>
  </si>
  <si>
    <t>布局1</t>
    <phoneticPr fontId="1" type="noConversion"/>
  </si>
  <si>
    <t>cctv_tvwallscreen_setting</t>
    <phoneticPr fontId="1" type="noConversion"/>
  </si>
  <si>
    <t>布局1監視器群組</t>
    <phoneticPr fontId="1" type="noConversion"/>
  </si>
  <si>
    <t>布局2監視器群組</t>
    <phoneticPr fontId="1" type="noConversion"/>
  </si>
  <si>
    <t>螢幕編號</t>
    <phoneticPr fontId="1" type="noConversion"/>
  </si>
  <si>
    <t>布局2</t>
    <phoneticPr fontId="1" type="noConversion"/>
  </si>
  <si>
    <t>車站廣播</t>
    <phoneticPr fontId="1" type="noConversion"/>
  </si>
  <si>
    <t>車站看板</t>
    <phoneticPr fontId="1" type="noConversion"/>
  </si>
  <si>
    <t>列車通訊</t>
    <phoneticPr fontId="1" type="noConversion"/>
  </si>
  <si>
    <t>is_use_du</t>
    <phoneticPr fontId="1" type="noConversion"/>
  </si>
  <si>
    <t>是否使用DU</t>
    <phoneticPr fontId="1" type="noConversion"/>
  </si>
  <si>
    <t>message</t>
    <phoneticPr fontId="1" type="noConversion"/>
  </si>
  <si>
    <t>role</t>
    <phoneticPr fontId="1" type="noConversion"/>
  </si>
  <si>
    <t>id</t>
    <phoneticPr fontId="1" type="noConversion"/>
  </si>
  <si>
    <t>name</t>
    <phoneticPr fontId="1" type="noConversion"/>
  </si>
  <si>
    <t>content</t>
    <phoneticPr fontId="1" type="noConversion"/>
  </si>
  <si>
    <t>belong_group_id</t>
    <phoneticPr fontId="1" type="noConversion"/>
  </si>
  <si>
    <t>所屬群組編號</t>
    <phoneticPr fontId="1" type="noConversion"/>
  </si>
  <si>
    <t>group_name</t>
    <phoneticPr fontId="1" type="noConversion"/>
  </si>
  <si>
    <t>voice</t>
    <phoneticPr fontId="1" type="noConversion"/>
  </si>
  <si>
    <t>政令宣導</t>
  </si>
  <si>
    <t>安全宣導</t>
  </si>
  <si>
    <t>衛生宣導</t>
  </si>
  <si>
    <t>活動訊息</t>
  </si>
  <si>
    <t xml:space="preserve">測試  </t>
  </si>
  <si>
    <t>1f2a4c2b-3d54-47a7-a2d2-bd8e52968485</t>
  </si>
  <si>
    <t>ec51aef7-09d3-4714-93ee-73913b9497e9</t>
  </si>
  <si>
    <t>c216b73b-ff5a-4d82-b81a-04207b57910a</t>
  </si>
  <si>
    <t>67825cc7-f1a6-4d65-b3c4-03a0c39e021a</t>
  </si>
  <si>
    <t>a3d3e0f1-ec1c-4a55-a5cf-70f5fd0122cc</t>
  </si>
  <si>
    <t>message_group</t>
    <phoneticPr fontId="1" type="noConversion"/>
  </si>
  <si>
    <t>語音群組編號</t>
    <phoneticPr fontId="1" type="noConversion"/>
  </si>
  <si>
    <t>語音群組名稱</t>
    <phoneticPr fontId="1" type="noConversion"/>
  </si>
  <si>
    <t>訊息群組編號</t>
    <phoneticPr fontId="1" type="noConversion"/>
  </si>
  <si>
    <t>訊息群組名稱</t>
    <phoneticPr fontId="1" type="noConversion"/>
  </si>
  <si>
    <t>voice_group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</si>
</sst>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"/>
  </numFmts>
  <fonts count="4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細明體"/>
      <family val="3"/>
      <charset val="136"/>
    </font>
    <font>
      <sz val="9"/>
      <name val="新細明體"/>
      <family val="3"/>
      <charset val="136"/>
      <scheme val="minor"/>
    </font>
    <font>
      <sz val="12"/>
      <color theme="1"/>
      <name val="Calibri"/>
      <family val="2"/>
    </font>
    <font>
      <sz val="12"/>
      <color theme="1"/>
      <name val="微軟正黑體"/>
      <family val="2"/>
      <charset val="136"/>
    </font>
    <font>
      <sz val="12"/>
      <color theme="0" tint="-0.14999847407452621"/>
      <name val="微軟正黑體"/>
      <family val="2"/>
    </font>
    <font>
      <sz val="12"/>
      <color theme="1"/>
      <name val="微軟正黑體"/>
      <family val="2"/>
    </font>
    <font>
      <b/>
      <sz val="12"/>
      <color theme="0"/>
      <name val="微軟正黑體"/>
      <family val="2"/>
    </font>
    <font>
      <u/>
      <sz val="12"/>
      <color theme="10"/>
      <name val="新細明體"/>
      <family val="2"/>
      <charset val="136"/>
      <scheme val="minor"/>
    </font>
    <font>
      <sz val="12"/>
      <color theme="0"/>
      <name val="微軟正黑體"/>
      <family val="2"/>
      <charset val="136"/>
    </font>
    <font>
      <sz val="12"/>
      <color theme="0"/>
      <name val="微軟正黑體"/>
      <family val="2"/>
    </font>
    <font>
      <b/>
      <sz val="12"/>
      <color theme="0"/>
      <name val="微軟正黑體"/>
      <family val="2"/>
      <charset val="136"/>
    </font>
    <font>
      <b/>
      <sz val="20"/>
      <color theme="0"/>
      <name val="微軟正黑體"/>
      <family val="2"/>
    </font>
    <font>
      <b/>
      <sz val="24"/>
      <color theme="0"/>
      <name val="微軟正黑體"/>
      <family val="2"/>
    </font>
    <font>
      <sz val="12"/>
      <color theme="2" tint="-9.9978637043366805E-2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0" tint="-0.249977111117893"/>
      <name val="微軟正黑體"/>
      <family val="2"/>
      <charset val="136"/>
    </font>
    <font>
      <sz val="12"/>
      <color theme="1"/>
      <name val="Microsoft JhengHei"/>
      <family val="2"/>
    </font>
    <font>
      <b/>
      <u/>
      <sz val="16"/>
      <color theme="7" tint="-0.249977111117893"/>
      <name val="微軟正黑體"/>
      <family val="2"/>
      <charset val="136"/>
    </font>
    <font>
      <sz val="12"/>
      <color theme="0" tint="-0.14999847407452621"/>
      <name val="微軟正黑體"/>
      <family val="2"/>
      <charset val="136"/>
    </font>
    <font>
      <b/>
      <u/>
      <sz val="16"/>
      <color rgb="FF00B050"/>
      <name val="微軟正黑體"/>
      <family val="2"/>
      <charset val="136"/>
    </font>
    <font>
      <b/>
      <sz val="16"/>
      <color theme="1"/>
      <name val="微軟正黑體"/>
      <family val="2"/>
    </font>
    <font>
      <b/>
      <u/>
      <sz val="16"/>
      <color theme="6" tint="-0.249977111117893"/>
      <name val="微軟正黑體"/>
      <family val="2"/>
    </font>
    <font>
      <b/>
      <u/>
      <sz val="16"/>
      <color theme="6" tint="-0.249977111117893"/>
      <name val="微軟正黑體"/>
      <family val="2"/>
      <charset val="136"/>
    </font>
    <font>
      <b/>
      <sz val="16"/>
      <color theme="1"/>
      <name val="新細明體"/>
      <family val="2"/>
      <charset val="136"/>
      <scheme val="minor"/>
    </font>
    <font>
      <b/>
      <sz val="16"/>
      <color theme="1"/>
      <name val="微軟正黑體"/>
      <family val="2"/>
      <charset val="136"/>
    </font>
    <font>
      <b/>
      <sz val="16"/>
      <color rgb="FF00B050"/>
      <name val="微軟正黑體"/>
      <family val="2"/>
      <charset val="136"/>
    </font>
    <font>
      <b/>
      <sz val="16"/>
      <color theme="6" tint="-0.249977111117893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2"/>
      <color rgb="FF000000"/>
      <name val="微軟正黑體"/>
      <family val="2"/>
      <charset val="136"/>
    </font>
    <font>
      <sz val="12"/>
      <color rgb="FF00B050"/>
      <name val="微軟正黑體"/>
      <family val="2"/>
      <charset val="136"/>
    </font>
    <font>
      <sz val="12"/>
      <color theme="4" tint="-0.249977111117893"/>
      <name val="微軟正黑體"/>
      <family val="2"/>
      <charset val="136"/>
    </font>
    <font>
      <sz val="12"/>
      <color rgb="FFFFC000"/>
      <name val="微軟正黑體"/>
      <family val="2"/>
      <charset val="136"/>
    </font>
    <font>
      <b/>
      <sz val="24"/>
      <color theme="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rgb="FF000000"/>
      <name val="Courier New"/>
      <family val="3"/>
    </font>
    <font>
      <sz val="10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新細明體"/>
      <family val="1"/>
      <charset val="136"/>
    </font>
    <font>
      <sz val="12"/>
      <color theme="1"/>
      <name val="新細明體"/>
      <family val="3"/>
      <charset val="128"/>
    </font>
    <font>
      <b/>
      <sz val="20"/>
      <color theme="0"/>
      <name val="微軟正黑體"/>
      <family val="2"/>
      <charset val="136"/>
    </font>
  </fonts>
  <fills count="4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theme="8"/>
      </patternFill>
    </fill>
    <fill>
      <patternFill patternType="solid">
        <fgColor theme="8"/>
        <bgColor theme="8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8B2D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0F4A4"/>
        <bgColor indexed="64"/>
      </patternFill>
    </fill>
    <fill>
      <patternFill patternType="solid">
        <fgColor rgb="FF38B035"/>
        <bgColor indexed="64"/>
      </patternFill>
    </fill>
    <fill>
      <patternFill patternType="solid">
        <fgColor rgb="FF017AB1"/>
        <bgColor indexed="64"/>
      </patternFill>
    </fill>
    <fill>
      <patternFill patternType="solid">
        <fgColor rgb="FFF4B919"/>
        <bgColor indexed="64"/>
      </patternFill>
    </fill>
    <fill>
      <patternFill patternType="solid">
        <fgColor rgb="FF61616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B90D2"/>
        <bgColor indexed="64"/>
      </patternFill>
    </fill>
    <fill>
      <patternFill patternType="solid">
        <fgColor rgb="FF33A6B8"/>
        <bgColor indexed="64"/>
      </patternFill>
    </fill>
    <fill>
      <patternFill patternType="solid">
        <fgColor rgb="FFF43C8A"/>
        <bgColor indexed="64"/>
      </patternFill>
    </fill>
    <fill>
      <patternFill patternType="solid">
        <fgColor rgb="FFA8D8B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DD23B"/>
        <bgColor indexed="64"/>
      </patternFill>
    </fill>
    <fill>
      <patternFill patternType="solid">
        <fgColor rgb="FFD75455"/>
        <bgColor indexed="64"/>
      </patternFill>
    </fill>
    <fill>
      <patternFill patternType="solid">
        <fgColor rgb="FFA5DEE4"/>
        <bgColor indexed="64"/>
      </patternFill>
    </fill>
    <fill>
      <patternFill patternType="solid">
        <fgColor rgb="FFC1328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B80E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95B3D7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0" fillId="0" borderId="0"/>
  </cellStyleXfs>
  <cellXfs count="209">
    <xf numFmtId="0" fontId="0" fillId="0" borderId="0" xfId="0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2" fillId="2" borderId="0" xfId="1" applyFont="1" applyFill="1" applyAlignment="1">
      <alignment vertical="center"/>
    </xf>
    <xf numFmtId="0" fontId="6" fillId="0" borderId="0" xfId="0" applyFont="1">
      <alignment vertical="center"/>
    </xf>
    <xf numFmtId="49" fontId="6" fillId="0" borderId="3" xfId="0" applyNumberFormat="1" applyFont="1" applyBorder="1" applyAlignment="1">
      <alignment horizontal="left" vertical="center"/>
    </xf>
    <xf numFmtId="49" fontId="9" fillId="8" borderId="3" xfId="1" applyNumberFormat="1" applyFont="1" applyFill="1" applyBorder="1" applyAlignment="1">
      <alignment horizontal="left" vertical="center"/>
    </xf>
    <xf numFmtId="49" fontId="9" fillId="5" borderId="3" xfId="1" applyNumberFormat="1" applyFont="1" applyFill="1" applyBorder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/>
    </xf>
    <xf numFmtId="49" fontId="9" fillId="5" borderId="7" xfId="1" applyNumberFormat="1" applyFont="1" applyFill="1" applyBorder="1" applyAlignment="1">
      <alignment horizontal="left" vertical="center"/>
    </xf>
    <xf numFmtId="49" fontId="9" fillId="5" borderId="8" xfId="1" applyNumberFormat="1" applyFont="1" applyFill="1" applyBorder="1" applyAlignment="1">
      <alignment horizontal="left" vertical="center"/>
    </xf>
    <xf numFmtId="49" fontId="9" fillId="5" borderId="9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17" fillId="0" borderId="0" xfId="1" applyFont="1" applyAlignment="1">
      <alignment horizontal="left" vertical="center"/>
    </xf>
    <xf numFmtId="0" fontId="17" fillId="0" borderId="0" xfId="1" applyFont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17" fillId="0" borderId="0" xfId="1" applyFont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20" fillId="0" borderId="3" xfId="3" applyFont="1" applyBorder="1">
      <alignment vertical="center"/>
    </xf>
    <xf numFmtId="0" fontId="7" fillId="0" borderId="3" xfId="0" applyFont="1" applyBorder="1" applyAlignment="1">
      <alignment horizontal="left" vertical="center"/>
    </xf>
    <xf numFmtId="0" fontId="8" fillId="0" borderId="3" xfId="2" applyFont="1" applyFill="1" applyBorder="1" applyAlignment="1">
      <alignment horizontal="left" vertical="center" wrapText="1"/>
    </xf>
    <xf numFmtId="0" fontId="6" fillId="0" borderId="3" xfId="2" applyFont="1" applyFill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/>
    </xf>
    <xf numFmtId="0" fontId="6" fillId="0" borderId="3" xfId="2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21" fillId="0" borderId="0" xfId="1" applyFont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6" fillId="0" borderId="11" xfId="0" applyFont="1" applyBorder="1">
      <alignment vertical="center"/>
    </xf>
    <xf numFmtId="0" fontId="6" fillId="0" borderId="13" xfId="0" applyFont="1" applyBorder="1">
      <alignment vertical="center"/>
    </xf>
    <xf numFmtId="0" fontId="26" fillId="0" borderId="11" xfId="0" applyFont="1" applyBorder="1">
      <alignment vertical="center"/>
    </xf>
    <xf numFmtId="0" fontId="27" fillId="0" borderId="11" xfId="0" applyFont="1" applyBorder="1" applyAlignment="1">
      <alignment horizontal="left" vertical="center"/>
    </xf>
    <xf numFmtId="0" fontId="28" fillId="0" borderId="11" xfId="3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8" xfId="2" applyFont="1" applyBorder="1" applyAlignment="1">
      <alignment horizontal="center" vertical="center"/>
    </xf>
    <xf numFmtId="0" fontId="20" fillId="0" borderId="8" xfId="3" applyFont="1" applyBorder="1">
      <alignment vertical="center"/>
    </xf>
    <xf numFmtId="0" fontId="8" fillId="0" borderId="8" xfId="2" applyFont="1" applyBorder="1" applyAlignment="1">
      <alignment horizontal="left" vertical="center" wrapText="1"/>
    </xf>
    <xf numFmtId="0" fontId="9" fillId="7" borderId="11" xfId="2" applyFont="1" applyFill="1" applyBorder="1" applyAlignment="1">
      <alignment vertical="center" wrapText="1"/>
    </xf>
    <xf numFmtId="49" fontId="6" fillId="0" borderId="11" xfId="0" applyNumberFormat="1" applyFont="1" applyBorder="1" applyAlignment="1">
      <alignment horizontal="left" vertical="top" wrapText="1"/>
    </xf>
    <xf numFmtId="0" fontId="25" fillId="0" borderId="11" xfId="0" applyFont="1" applyBorder="1" applyAlignment="1">
      <alignment horizontal="left" vertical="center"/>
    </xf>
    <xf numFmtId="0" fontId="6" fillId="0" borderId="10" xfId="2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1" fillId="0" borderId="11" xfId="0" applyFont="1" applyBorder="1" applyAlignment="1">
      <alignment vertical="center" wrapText="1"/>
    </xf>
    <xf numFmtId="0" fontId="20" fillId="0" borderId="3" xfId="2" applyNumberFormat="1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22" fillId="0" borderId="11" xfId="3" applyFont="1" applyBorder="1" applyAlignment="1">
      <alignment horizontal="left" vertical="center"/>
    </xf>
    <xf numFmtId="0" fontId="8" fillId="0" borderId="3" xfId="2" applyFont="1" applyFill="1" applyBorder="1" applyAlignment="1">
      <alignment horizontal="center" vertical="center"/>
    </xf>
    <xf numFmtId="0" fontId="20" fillId="0" borderId="3" xfId="3" applyFont="1" applyFill="1" applyBorder="1">
      <alignment vertical="center"/>
    </xf>
    <xf numFmtId="0" fontId="6" fillId="12" borderId="0" xfId="1" applyFont="1" applyFill="1" applyAlignment="1">
      <alignment horizontal="left" vertical="center"/>
    </xf>
    <xf numFmtId="0" fontId="6" fillId="12" borderId="0" xfId="1" applyFont="1" applyFill="1" applyAlignment="1">
      <alignment horizontal="center" vertical="center"/>
    </xf>
    <xf numFmtId="0" fontId="18" fillId="12" borderId="0" xfId="1" applyFont="1" applyFill="1" applyAlignment="1">
      <alignment horizontal="left" vertical="center"/>
    </xf>
    <xf numFmtId="0" fontId="17" fillId="12" borderId="0" xfId="1" applyFont="1" applyFill="1" applyAlignment="1">
      <alignment horizontal="center" vertical="center"/>
    </xf>
    <xf numFmtId="0" fontId="17" fillId="12" borderId="0" xfId="1" applyFont="1" applyFill="1" applyAlignment="1">
      <alignment horizontal="left" vertical="center"/>
    </xf>
    <xf numFmtId="0" fontId="22" fillId="0" borderId="11" xfId="3" applyFont="1" applyFill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9" fillId="0" borderId="1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27" fillId="0" borderId="17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9" fillId="7" borderId="11" xfId="2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6" fillId="12" borderId="0" xfId="1" applyFont="1" applyFill="1" applyAlignment="1">
      <alignment horizontal="left" vertical="center"/>
    </xf>
    <xf numFmtId="0" fontId="6" fillId="0" borderId="17" xfId="0" applyFont="1" applyBorder="1" applyAlignment="1">
      <alignment horizontal="left" vertical="center" wrapText="1"/>
    </xf>
    <xf numFmtId="0" fontId="6" fillId="36" borderId="11" xfId="0" applyFont="1" applyFill="1" applyBorder="1" applyAlignment="1"/>
    <xf numFmtId="0" fontId="11" fillId="0" borderId="0" xfId="0" applyFont="1" applyAlignment="1">
      <alignment horizontal="center" vertical="center"/>
    </xf>
    <xf numFmtId="0" fontId="6" fillId="10" borderId="11" xfId="0" applyFont="1" applyFill="1" applyBorder="1">
      <alignment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1" xfId="0" applyFont="1" applyFill="1" applyBorder="1">
      <alignment vertical="center"/>
    </xf>
    <xf numFmtId="0" fontId="13" fillId="32" borderId="11" xfId="0" applyFont="1" applyFill="1" applyBorder="1" applyAlignment="1">
      <alignment horizontal="left" vertical="top"/>
    </xf>
    <xf numFmtId="0" fontId="11" fillId="0" borderId="0" xfId="0" applyFont="1">
      <alignment vertical="center"/>
    </xf>
    <xf numFmtId="0" fontId="6" fillId="15" borderId="11" xfId="0" applyFont="1" applyFill="1" applyBorder="1">
      <alignment vertical="center"/>
    </xf>
    <xf numFmtId="49" fontId="6" fillId="0" borderId="11" xfId="0" applyNumberFormat="1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33" borderId="11" xfId="0" applyFont="1" applyFill="1" applyBorder="1" applyAlignment="1">
      <alignment horizontal="left" vertical="top"/>
    </xf>
    <xf numFmtId="0" fontId="6" fillId="16" borderId="11" xfId="0" applyFont="1" applyFill="1" applyBorder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>
      <alignment vertical="center"/>
    </xf>
    <xf numFmtId="0" fontId="6" fillId="0" borderId="11" xfId="0" applyFont="1" applyBorder="1" applyAlignment="1">
      <alignment horizontal="left" vertical="top"/>
    </xf>
    <xf numFmtId="0" fontId="13" fillId="17" borderId="11" xfId="0" applyFont="1" applyFill="1" applyBorder="1" applyAlignment="1">
      <alignment horizontal="left" vertical="top"/>
    </xf>
    <xf numFmtId="0" fontId="13" fillId="18" borderId="11" xfId="0" applyFont="1" applyFill="1" applyBorder="1" applyAlignment="1">
      <alignment horizontal="left" vertical="top"/>
    </xf>
    <xf numFmtId="0" fontId="6" fillId="0" borderId="11" xfId="0" applyFont="1" applyBorder="1" applyAlignment="1">
      <alignment horizontal="center" vertical="top"/>
    </xf>
    <xf numFmtId="0" fontId="13" fillId="19" borderId="11" xfId="0" applyFont="1" applyFill="1" applyBorder="1" applyAlignment="1">
      <alignment horizontal="left" vertical="top"/>
    </xf>
    <xf numFmtId="0" fontId="13" fillId="20" borderId="11" xfId="0" applyFont="1" applyFill="1" applyBorder="1" applyAlignment="1">
      <alignment horizontal="left" vertical="top"/>
    </xf>
    <xf numFmtId="0" fontId="32" fillId="0" borderId="11" xfId="0" applyFont="1" applyBorder="1">
      <alignment vertical="center"/>
    </xf>
    <xf numFmtId="0" fontId="33" fillId="0" borderId="11" xfId="0" applyFont="1" applyBorder="1" applyAlignment="1">
      <alignment horizontal="left" vertical="center"/>
    </xf>
    <xf numFmtId="0" fontId="34" fillId="0" borderId="11" xfId="0" applyFont="1" applyBorder="1" applyAlignment="1">
      <alignment horizontal="left" vertical="center"/>
    </xf>
    <xf numFmtId="0" fontId="6" fillId="12" borderId="11" xfId="0" applyFont="1" applyFill="1" applyBorder="1" applyAlignment="1">
      <alignment vertical="top"/>
    </xf>
    <xf numFmtId="0" fontId="6" fillId="22" borderId="11" xfId="0" applyFont="1" applyFill="1" applyBorder="1" applyAlignment="1">
      <alignment vertical="top"/>
    </xf>
    <xf numFmtId="0" fontId="6" fillId="17" borderId="11" xfId="0" applyFont="1" applyFill="1" applyBorder="1">
      <alignment vertical="center"/>
    </xf>
    <xf numFmtId="0" fontId="6" fillId="11" borderId="11" xfId="0" applyFont="1" applyFill="1" applyBorder="1">
      <alignment vertical="center"/>
    </xf>
    <xf numFmtId="0" fontId="6" fillId="2" borderId="11" xfId="0" applyFont="1" applyFill="1" applyBorder="1">
      <alignment vertical="center"/>
    </xf>
    <xf numFmtId="0" fontId="6" fillId="37" borderId="11" xfId="0" applyFont="1" applyFill="1" applyBorder="1">
      <alignment vertical="center"/>
    </xf>
    <xf numFmtId="0" fontId="6" fillId="35" borderId="11" xfId="0" applyFont="1" applyFill="1" applyBorder="1" applyAlignment="1">
      <alignment horizontal="left" vertical="center"/>
    </xf>
    <xf numFmtId="0" fontId="6" fillId="9" borderId="11" xfId="0" applyFont="1" applyFill="1" applyBorder="1" applyAlignment="1">
      <alignment horizontal="left" vertical="center"/>
    </xf>
    <xf numFmtId="0" fontId="6" fillId="3" borderId="11" xfId="0" applyFont="1" applyFill="1" applyBorder="1">
      <alignment vertical="center"/>
    </xf>
    <xf numFmtId="0" fontId="6" fillId="38" borderId="11" xfId="0" applyFont="1" applyFill="1" applyBorder="1">
      <alignment vertical="center"/>
    </xf>
    <xf numFmtId="0" fontId="6" fillId="16" borderId="11" xfId="0" applyFont="1" applyFill="1" applyBorder="1" applyAlignment="1">
      <alignment horizontal="left" vertical="center"/>
    </xf>
    <xf numFmtId="0" fontId="6" fillId="34" borderId="11" xfId="0" applyFont="1" applyFill="1" applyBorder="1">
      <alignment vertical="center"/>
    </xf>
    <xf numFmtId="0" fontId="6" fillId="39" borderId="11" xfId="0" applyFont="1" applyFill="1" applyBorder="1">
      <alignment vertical="center"/>
    </xf>
    <xf numFmtId="0" fontId="6" fillId="40" borderId="11" xfId="0" applyFont="1" applyFill="1" applyBorder="1">
      <alignment vertical="center"/>
    </xf>
    <xf numFmtId="0" fontId="13" fillId="32" borderId="11" xfId="0" applyFont="1" applyFill="1" applyBorder="1" applyAlignment="1">
      <alignment vertical="top"/>
    </xf>
    <xf numFmtId="0" fontId="6" fillId="21" borderId="11" xfId="0" applyFont="1" applyFill="1" applyBorder="1" applyAlignment="1">
      <alignment vertical="top"/>
    </xf>
    <xf numFmtId="0" fontId="6" fillId="23" borderId="11" xfId="0" applyFont="1" applyFill="1" applyBorder="1" applyAlignment="1">
      <alignment vertical="top"/>
    </xf>
    <xf numFmtId="0" fontId="6" fillId="24" borderId="11" xfId="0" applyFont="1" applyFill="1" applyBorder="1" applyAlignment="1">
      <alignment vertical="top"/>
    </xf>
    <xf numFmtId="0" fontId="6" fillId="25" borderId="11" xfId="0" applyFont="1" applyFill="1" applyBorder="1" applyAlignment="1">
      <alignment vertical="top"/>
    </xf>
    <xf numFmtId="0" fontId="6" fillId="26" borderId="11" xfId="0" applyFont="1" applyFill="1" applyBorder="1" applyAlignment="1">
      <alignment vertical="top"/>
    </xf>
    <xf numFmtId="0" fontId="6" fillId="27" borderId="11" xfId="0" applyFont="1" applyFill="1" applyBorder="1" applyAlignment="1">
      <alignment vertical="top"/>
    </xf>
    <xf numFmtId="0" fontId="6" fillId="28" borderId="11" xfId="0" applyFont="1" applyFill="1" applyBorder="1" applyAlignment="1">
      <alignment vertical="top"/>
    </xf>
    <xf numFmtId="0" fontId="6" fillId="29" borderId="11" xfId="0" applyFont="1" applyFill="1" applyBorder="1" applyAlignment="1">
      <alignment vertical="top"/>
    </xf>
    <xf numFmtId="0" fontId="6" fillId="30" borderId="11" xfId="0" applyFont="1" applyFill="1" applyBorder="1" applyAlignment="1">
      <alignment vertical="top"/>
    </xf>
    <xf numFmtId="0" fontId="6" fillId="0" borderId="11" xfId="0" applyFont="1" applyBorder="1" applyAlignment="1">
      <alignment vertical="top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6" fillId="21" borderId="11" xfId="0" applyFont="1" applyFill="1" applyBorder="1">
      <alignment vertical="center"/>
    </xf>
    <xf numFmtId="49" fontId="19" fillId="21" borderId="8" xfId="1" applyNumberFormat="1" applyFont="1" applyFill="1" applyBorder="1" applyAlignment="1">
      <alignment horizontal="left" vertical="center"/>
    </xf>
    <xf numFmtId="0" fontId="13" fillId="2" borderId="11" xfId="0" applyFont="1" applyFill="1" applyBorder="1" applyAlignment="1">
      <alignment horizontal="left" vertical="top"/>
    </xf>
    <xf numFmtId="0" fontId="6" fillId="21" borderId="12" xfId="0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13" fillId="3" borderId="11" xfId="2" applyFont="1" applyFill="1" applyBorder="1" applyAlignment="1">
      <alignment vertical="center" wrapText="1"/>
    </xf>
    <xf numFmtId="0" fontId="13" fillId="4" borderId="0" xfId="1" applyFont="1" applyFill="1" applyAlignment="1">
      <alignment vertical="center" wrapText="1"/>
    </xf>
    <xf numFmtId="0" fontId="37" fillId="0" borderId="0" xfId="0" applyFont="1">
      <alignment vertical="center"/>
    </xf>
    <xf numFmtId="0" fontId="10" fillId="0" borderId="11" xfId="3" applyBorder="1" applyAlignment="1">
      <alignment horizontal="left" vertical="center"/>
    </xf>
    <xf numFmtId="20" fontId="17" fillId="0" borderId="0" xfId="1" applyNumberFormat="1" applyFont="1" applyAlignment="1">
      <alignment horizontal="left" vertical="center"/>
    </xf>
    <xf numFmtId="0" fontId="40" fillId="41" borderId="21" xfId="0" applyFont="1" applyFill="1" applyBorder="1" applyAlignment="1">
      <alignment horizontal="center" vertical="center"/>
    </xf>
    <xf numFmtId="0" fontId="38" fillId="0" borderId="22" xfId="0" applyFont="1" applyBorder="1">
      <alignment vertical="center"/>
    </xf>
    <xf numFmtId="0" fontId="40" fillId="42" borderId="22" xfId="0" applyFont="1" applyFill="1" applyBorder="1" applyAlignment="1">
      <alignment horizontal="center" vertical="center"/>
    </xf>
    <xf numFmtId="0" fontId="40" fillId="0" borderId="24" xfId="0" applyFont="1" applyBorder="1">
      <alignment vertical="center"/>
    </xf>
    <xf numFmtId="0" fontId="40" fillId="0" borderId="24" xfId="0" applyFont="1" applyBorder="1" applyAlignment="1">
      <alignment horizontal="center" vertical="center"/>
    </xf>
    <xf numFmtId="0" fontId="40" fillId="0" borderId="23" xfId="0" applyFont="1" applyBorder="1">
      <alignment vertical="center"/>
    </xf>
    <xf numFmtId="0" fontId="28" fillId="0" borderId="17" xfId="0" applyFont="1" applyBorder="1" applyAlignment="1">
      <alignment horizontal="left" vertical="top" wrapText="1"/>
    </xf>
    <xf numFmtId="0" fontId="16" fillId="0" borderId="0" xfId="1" applyFont="1" applyFill="1" applyAlignment="1">
      <alignment horizontal="left" vertical="center"/>
    </xf>
    <xf numFmtId="0" fontId="6" fillId="0" borderId="0" xfId="1" applyFont="1" applyFill="1" applyAlignment="1">
      <alignment horizontal="left" vertical="center"/>
    </xf>
    <xf numFmtId="0" fontId="6" fillId="0" borderId="0" xfId="1" applyFont="1" applyFill="1" applyAlignment="1" applyProtection="1">
      <alignment horizontal="left" vertical="center"/>
    </xf>
    <xf numFmtId="0" fontId="6" fillId="0" borderId="0" xfId="1" applyFont="1" applyFill="1" applyAlignment="1">
      <alignment horizontal="center" vertical="center"/>
    </xf>
    <xf numFmtId="0" fontId="17" fillId="0" borderId="0" xfId="1" applyFont="1" applyFill="1" applyAlignment="1">
      <alignment horizontal="left" vertical="center"/>
    </xf>
    <xf numFmtId="0" fontId="17" fillId="0" borderId="0" xfId="1" applyNumberFormat="1" applyFont="1" applyFill="1" applyAlignment="1">
      <alignment horizontal="center" vertical="center"/>
    </xf>
    <xf numFmtId="0" fontId="17" fillId="0" borderId="0" xfId="1" applyFont="1" applyFill="1" applyAlignment="1">
      <alignment horizontal="center" vertical="center"/>
    </xf>
    <xf numFmtId="0" fontId="17" fillId="0" borderId="0" xfId="1" applyNumberFormat="1" applyFont="1" applyFill="1" applyAlignment="1">
      <alignment horizontal="left" vertical="center"/>
    </xf>
    <xf numFmtId="0" fontId="6" fillId="0" borderId="0" xfId="1" applyNumberFormat="1" applyFont="1" applyFill="1" applyAlignment="1">
      <alignment horizontal="left" vertical="center"/>
    </xf>
    <xf numFmtId="0" fontId="18" fillId="0" borderId="0" xfId="1" applyFont="1" applyFill="1" applyAlignment="1" applyProtection="1">
      <alignment horizontal="left" vertical="center"/>
    </xf>
    <xf numFmtId="49" fontId="9" fillId="8" borderId="11" xfId="1" applyNumberFormat="1" applyFont="1" applyFill="1" applyBorder="1" applyAlignment="1">
      <alignment horizontal="left" vertical="center" wrapText="1"/>
    </xf>
    <xf numFmtId="49" fontId="13" fillId="13" borderId="11" xfId="0" applyNumberFormat="1" applyFont="1" applyFill="1" applyBorder="1" applyAlignment="1">
      <alignment horizontal="left" vertical="center" wrapText="1"/>
    </xf>
    <xf numFmtId="176" fontId="6" fillId="0" borderId="11" xfId="0" applyNumberFormat="1" applyFont="1" applyBorder="1" applyAlignment="1">
      <alignment horizontal="left" vertical="center" wrapText="1"/>
    </xf>
    <xf numFmtId="0" fontId="15" fillId="7" borderId="14" xfId="2" applyFont="1" applyFill="1" applyBorder="1" applyAlignment="1">
      <alignment horizontal="center" vertical="center" wrapText="1"/>
    </xf>
    <xf numFmtId="0" fontId="9" fillId="7" borderId="12" xfId="2" applyFont="1" applyFill="1" applyBorder="1" applyAlignment="1">
      <alignment horizontal="center" vertical="center" wrapText="1"/>
    </xf>
    <xf numFmtId="0" fontId="9" fillId="7" borderId="19" xfId="2" applyFont="1" applyFill="1" applyBorder="1" applyAlignment="1">
      <alignment horizontal="center" vertical="center" wrapText="1"/>
    </xf>
    <xf numFmtId="0" fontId="9" fillId="7" borderId="13" xfId="2" applyFont="1" applyFill="1" applyBorder="1" applyAlignment="1">
      <alignment horizontal="center" vertical="center" wrapText="1"/>
    </xf>
    <xf numFmtId="0" fontId="13" fillId="4" borderId="0" xfId="1" applyFont="1" applyFill="1" applyAlignment="1">
      <alignment horizontal="center" vertical="center" wrapText="1"/>
    </xf>
    <xf numFmtId="0" fontId="13" fillId="6" borderId="1" xfId="2" applyFont="1" applyFill="1" applyBorder="1" applyAlignment="1">
      <alignment horizontal="center" vertical="center" wrapText="1"/>
    </xf>
    <xf numFmtId="0" fontId="13" fillId="6" borderId="2" xfId="2" applyFont="1" applyFill="1" applyBorder="1" applyAlignment="1">
      <alignment horizontal="center" vertical="center" wrapText="1"/>
    </xf>
    <xf numFmtId="0" fontId="35" fillId="6" borderId="1" xfId="2" applyFont="1" applyFill="1" applyBorder="1" applyAlignment="1">
      <alignment horizontal="center" vertical="center" wrapText="1"/>
    </xf>
    <xf numFmtId="0" fontId="35" fillId="6" borderId="2" xfId="2" applyFont="1" applyFill="1" applyBorder="1" applyAlignment="1">
      <alignment horizontal="center" vertical="center" wrapText="1"/>
    </xf>
    <xf numFmtId="0" fontId="6" fillId="16" borderId="18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6" fillId="15" borderId="11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 wrapText="1"/>
    </xf>
    <xf numFmtId="0" fontId="13" fillId="14" borderId="11" xfId="0" applyFont="1" applyFill="1" applyBorder="1" applyAlignment="1">
      <alignment horizontal="center" vertical="center"/>
    </xf>
    <xf numFmtId="0" fontId="11" fillId="31" borderId="0" xfId="0" applyFont="1" applyFill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center" vertical="center" wrapText="1"/>
    </xf>
    <xf numFmtId="0" fontId="40" fillId="0" borderId="25" xfId="0" applyFont="1" applyBorder="1">
      <alignment vertical="center"/>
    </xf>
    <xf numFmtId="0" fontId="40" fillId="0" borderId="23" xfId="0" applyFont="1" applyBorder="1">
      <alignment vertical="center"/>
    </xf>
    <xf numFmtId="0" fontId="6" fillId="21" borderId="12" xfId="0" applyFont="1" applyFill="1" applyBorder="1" applyAlignment="1">
      <alignment horizontal="center" vertical="center"/>
    </xf>
    <xf numFmtId="0" fontId="6" fillId="21" borderId="13" xfId="0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horizontal="center" vertical="center"/>
    </xf>
    <xf numFmtId="0" fontId="13" fillId="14" borderId="13" xfId="0" applyFont="1" applyFill="1" applyBorder="1" applyAlignment="1">
      <alignment horizontal="center" vertical="center"/>
    </xf>
    <xf numFmtId="49" fontId="14" fillId="13" borderId="11" xfId="1" applyNumberFormat="1" applyFont="1" applyFill="1" applyBorder="1" applyAlignment="1">
      <alignment horizontal="center" vertical="center" wrapText="1"/>
    </xf>
    <xf numFmtId="49" fontId="14" fillId="5" borderId="3" xfId="1" applyNumberFormat="1" applyFont="1" applyFill="1" applyBorder="1" applyAlignment="1">
      <alignment horizontal="center" vertical="center"/>
    </xf>
    <xf numFmtId="49" fontId="14" fillId="5" borderId="4" xfId="1" applyNumberFormat="1" applyFont="1" applyFill="1" applyBorder="1" applyAlignment="1">
      <alignment horizontal="center" vertical="center"/>
    </xf>
    <xf numFmtId="49" fontId="14" fillId="5" borderId="5" xfId="1" applyNumberFormat="1" applyFont="1" applyFill="1" applyBorder="1" applyAlignment="1">
      <alignment horizontal="center" vertical="center"/>
    </xf>
    <xf numFmtId="49" fontId="14" fillId="5" borderId="6" xfId="1" applyNumberFormat="1" applyFont="1" applyFill="1" applyBorder="1" applyAlignment="1">
      <alignment horizontal="center" vertical="center"/>
    </xf>
    <xf numFmtId="49" fontId="42" fillId="13" borderId="11" xfId="1" applyNumberFormat="1" applyFont="1" applyFill="1" applyBorder="1" applyAlignment="1">
      <alignment horizontal="center" vertical="center" wrapText="1"/>
    </xf>
    <xf numFmtId="49" fontId="13" fillId="8" borderId="11" xfId="1" applyNumberFormat="1" applyFont="1" applyFill="1" applyBorder="1" applyAlignment="1">
      <alignment horizontal="left" vertical="center" wrapText="1"/>
    </xf>
  </cellXfs>
  <cellStyles count="5">
    <cellStyle name="Calibri" xfId="2" xr:uid="{00000000-0005-0000-0000-000000000000}"/>
    <cellStyle name="一般" xfId="0" builtinId="0"/>
    <cellStyle name="一般 2" xfId="1" xr:uid="{00000000-0005-0000-0000-000002000000}"/>
    <cellStyle name="一般 3" xfId="4" xr:uid="{00000000-0005-0000-0000-000003000000}"/>
    <cellStyle name="超連結" xfId="3" builtinId="8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微軟正黑體"/>
        <scheme val="none"/>
      </font>
      <numFmt numFmtId="30" formatCode="@"/>
      <fill>
        <patternFill patternType="solid">
          <fgColor indexed="64"/>
          <bgColor rgb="FF00B05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微軟正黑體"/>
        <scheme val="none"/>
      </font>
      <numFmt numFmtId="30" formatCode="@"/>
      <fill>
        <patternFill patternType="solid">
          <fgColor indexed="64"/>
          <bgColor rgb="FF00B05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微軟正黑體"/>
        <scheme val="none"/>
      </font>
      <numFmt numFmtId="30" formatCode="@"/>
      <fill>
        <patternFill patternType="solid">
          <fgColor indexed="64"/>
          <bgColor rgb="FF00B05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微軟正黑體"/>
        <scheme val="none"/>
      </font>
      <numFmt numFmtId="30" formatCode="@"/>
      <fill>
        <patternFill patternType="solid">
          <fgColor indexed="64"/>
          <bgColor rgb="FF00B05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176" formatCode="0000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176" formatCode="0000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theme="1"/>
        </left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9.9978637043366805E-2"/>
        <name val="微軟正黑體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微軟正黑體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6"/>
        <name val="微軟正黑體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6"/>
        <color theme="7" tint="-0.249977111117893"/>
        <name val="微軟正黑體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left" vertical="center" textRotation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 outline="0">
        <top style="thin">
          <color indexed="64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微軟正黑體"/>
        <scheme val="none"/>
      </font>
      <fill>
        <patternFill patternType="solid">
          <fgColor theme="8"/>
          <bgColor theme="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38B035"/>
      <color rgb="FFA0F4A4"/>
      <color rgb="FFFF7C80"/>
      <color rgb="FFF82C4E"/>
      <color rgb="FFCB80E0"/>
      <color rgb="FF58B2DC"/>
      <color rgb="FF616161"/>
      <color rgb="FFF4B919"/>
      <color rgb="FF017AB1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adioList">
        <xsd:complexType>
          <xsd:sequence minOccurs="0">
            <xsd:element minOccurs="0" nillable="true" name="Summary" form="unqualified">
              <xsd:complexType>
                <xsd:attribute name="version" form="unqualified" type="xsd:integer"/>
                <xsd:attribute name="min_id" form="unqualified" type="xsd:integer"/>
                <xsd:attribute name="max_id" form="unqualified" type="xsd:integer"/>
                <xsd:attribute name="count" form="unqualified" type="xsd:integer"/>
              </xsd:complexType>
            </xsd:element>
            <xsd:element minOccurs="0" maxOccurs="unbounded" nillable="true" name="Folder" form="unqualified">
              <xsd:complexType>
                <xsd:sequence minOccurs="0">
                  <xsd:element minOccurs="0" nillable="true" name="File" form="unqualified">
                    <xsd:complexType>
                      <xsd:attribute name="type" form="unqualified" type="xsd:string"/>
                      <xsd:attribute name="name" form="unqualified" type="xsd:integer"/>
                    </xsd:complexType>
                  </xsd:element>
                  <xsd:element minOccurs="0" nillable="true" name="Brief" form="unqualified">
                    <xsd:complexType>
                      <xsd:attribute name="content" form="unqualified" type="xsd:string"/>
                    </xsd:complexType>
                  </xsd:element>
                  <xsd:element minOccurs="0" nillable="true" name="Lanuage" form="unqualified">
                    <xsd:complexType>
                      <xsd:attribute name="assemble" form="unqualified" type="xsd:string"/>
                      <xsd:attribute name="value" form="unqualified" type="xsd:integer"/>
                    </xsd:complexType>
                  </xsd:element>
                  <xsd:element minOccurs="0" nillable="true" name="UpdateDate" form="unqualified">
                    <xsd:complexType>
                      <xsd:attribute name="value" form="unqualified" type="xsd:integer"/>
                    </xsd:complexType>
                  </xsd:element>
                </xsd:sequence>
                <xsd:attribute name="ID" form="unqualified" type="xsd:integer"/>
                <xsd:attribute name="status" form="unqualified" type="xsd:string"/>
                <xsd:attribute name="date" form="unqualified" type="xsd:integer"/>
              </xsd:complexType>
            </xsd:element>
          </xsd:sequence>
        </xsd:complexType>
      </xsd:element>
    </xsd:schema>
  </Schema>
  <Schema ID="Schema2">
    <xsd:schema xmlns:xsd="http://www.w3.org/2001/XMLSchema" xmlns="">
      <xsd:element nillable="true" name="RadioList">
        <xsd:complexType>
          <xsd:sequence minOccurs="0">
            <xsd:element minOccurs="0" nillable="true" name="Summary" form="unqualified">
              <xsd:complexType>
                <xsd:attribute name="version" form="unqualified" type="xsd:integer"/>
                <xsd:attribute name="min_id" form="unqualified" type="xsd:integer"/>
                <xsd:attribute name="max_id" form="unqualified" type="xsd:integer"/>
                <xsd:attribute name="count" form="unqualified" type="xsd:integer"/>
              </xsd:complexType>
            </xsd:element>
            <xsd:element minOccurs="0" maxOccurs="unbounded" nillable="true" name="Folder" form="unqualified">
              <xsd:complexType>
                <xsd:sequence minOccurs="0">
                  <xsd:element minOccurs="0" nillable="true" name="File" form="unqualified">
                    <xsd:complexType>
                      <xsd:attribute name="type" form="unqualified" type="xsd:string"/>
                      <xsd:attribute name="name" form="unqualified" type="xsd:integer"/>
                    </xsd:complexType>
                  </xsd:element>
                  <xsd:element minOccurs="0" nillable="true" name="Brief" form="unqualified">
                    <xsd:complexType>
                      <xsd:attribute name="content" form="unqualified" type="xsd:string"/>
                    </xsd:complexType>
                  </xsd:element>
                  <xsd:element minOccurs="0" nillable="true" name="Lanuage" form="unqualified">
                    <xsd:complexType>
                      <xsd:attribute name="assemble" form="unqualified" type="xsd:string"/>
                      <xsd:attribute name="value" form="unqualified" type="xsd:integer"/>
                    </xsd:complexType>
                  </xsd:element>
                  <xsd:element minOccurs="0" nillable="true" name="UpdateDate" form="unqualified">
                    <xsd:complexType>
                      <xsd:attribute name="value" form="unqualified" type="xsd:integer"/>
                    </xsd:complexType>
                  </xsd:element>
                </xsd:sequence>
                <xsd:attribute name="ID" form="unqualified" type="xsd:integer"/>
                <xsd:attribute name="status" form="unqualified" type="xsd:string"/>
                <xsd:attribute name="date" form="unqualified" type="xsd:integer"/>
              </xsd:complexType>
            </xsd:element>
          </xsd:sequence>
        </xsd:complexType>
      </xsd:element>
    </xsd:schema>
  </Schema>
  <Map ID="1" Name="RadioList_Map" RootElement="RadioList" SchemaID="Schema1" ShowImportExportValidationErrors="false" AutoFit="true" Append="false" PreserveSortAFLayout="true" PreserveFormat="true">
    <DataBinding FileBinding="true" ConnectionID="1" DataBindingLoadMode="1"/>
  </Map>
  <Map ID="2" Name="RadioList_Map1" RootElement="RadioList" SchemaID="Schema2" ShowImportExportValidationErrors="false" AutoFit="true" Append="false" PreserveSortAFLayout="tru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[資料表一覽]資料表一覽表格" displayName="[資料表一覽]資料表一覽表格" ref="A2:I47" totalsRowShown="0" headerRowDxfId="83" dataDxfId="81" headerRowBorderDxfId="82" tableBorderDxfId="80" headerRowCellStyle="Calibri">
  <autoFilter ref="A2:I47" xr:uid="{00000000-0009-0000-0100-000002000000}"/>
  <tableColumns count="9">
    <tableColumn id="1" xr3:uid="{00000000-0010-0000-0000-000001000000}" name="資料表類別" dataDxfId="79"/>
    <tableColumn id="2" xr3:uid="{00000000-0010-0000-0000-000002000000}" name="資料表序號" dataDxfId="78" dataCellStyle="Calibri"/>
    <tableColumn id="3" xr3:uid="{00000000-0010-0000-0000-000003000000}" name="資料表名稱(英)" dataDxfId="77" dataCellStyle="Calibri"/>
    <tableColumn id="4" xr3:uid="{00000000-0010-0000-0000-000004000000}" name="資料表名稱(中)" dataDxfId="76" dataCellStyle="Calibri"/>
    <tableColumn id="6" xr3:uid="{00000000-0010-0000-0000-000006000000}" name="備考" dataDxfId="75"/>
    <tableColumn id="8" xr3:uid="{00000000-0010-0000-0000-000008000000}" name="資料表數據(綠色代表資料筆數固定)" dataDxfId="74"/>
    <tableColumn id="7" xr3:uid="{00000000-0010-0000-0000-000007000000}" name="新增" dataDxfId="73"/>
    <tableColumn id="9" xr3:uid="{00000000-0010-0000-0000-000009000000}" name="編輯" dataDxfId="72"/>
    <tableColumn id="5" xr3:uid="{00000000-0010-0000-0000-000005000000}" name="刪除" dataDxfId="7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[資料表詳細]資料表詳細表格" displayName="[資料表詳細]資料表詳細表格" ref="A3:N463" totalsRowShown="0" headerRowDxfId="70" dataDxfId="68" headerRowBorderDxfId="69" tableBorderDxfId="67" totalsRowBorderDxfId="66" headerRowCellStyle="一般 2" dataCellStyle="一般 2">
  <autoFilter ref="A3:N463" xr:uid="{00000000-000C-0000-FFFF-FFFF01000000}"/>
  <tableColumns count="14">
    <tableColumn id="14" xr3:uid="{00000000-0010-0000-0100-00000E000000}" name="排序" dataDxfId="65" dataCellStyle="一般 2"/>
    <tableColumn id="1" xr3:uid="{00000000-0010-0000-0100-000001000000}" name="資料表分類" dataDxfId="64" dataCellStyle="一般 2"/>
    <tableColumn id="2" xr3:uid="{00000000-0010-0000-0100-000002000000}" name="表名" dataDxfId="63" totalsRowDxfId="62" dataCellStyle="一般 2"/>
    <tableColumn id="3" xr3:uid="{00000000-0010-0000-0100-000003000000}" name="欄位序號" dataDxfId="61" totalsRowDxfId="60" dataCellStyle="一般 2"/>
    <tableColumn id="4" xr3:uid="{00000000-0010-0000-0100-000004000000}" name="欄位名稱(英)" dataDxfId="59" totalsRowDxfId="58" dataCellStyle="一般 2"/>
    <tableColumn id="5" xr3:uid="{00000000-0010-0000-0100-000005000000}" name="欄位名稱(中)" dataDxfId="57" totalsRowDxfId="56" dataCellStyle="一般 2"/>
    <tableColumn id="6" xr3:uid="{00000000-0010-0000-0100-000006000000}" name="屬性類型(Postgre)" dataDxfId="55" totalsRowDxfId="54" dataCellStyle="一般 2"/>
    <tableColumn id="7" xr3:uid="{00000000-0010-0000-0100-000007000000}" name="長度" dataDxfId="53" totalsRowDxfId="52" dataCellStyle="一般 2"/>
    <tableColumn id="8" xr3:uid="{00000000-0010-0000-0100-000008000000}" name="空值" dataDxfId="51" totalsRowDxfId="50" dataCellStyle="一般 2"/>
    <tableColumn id="9" xr3:uid="{00000000-0010-0000-0100-000009000000}" name="設定(PK/FK)" dataDxfId="49" totalsRowDxfId="48" dataCellStyle="一般 2"/>
    <tableColumn id="10" xr3:uid="{00000000-0010-0000-0100-00000A000000}" name="備註" dataDxfId="47" totalsRowDxfId="46" dataCellStyle="一般 2"/>
    <tableColumn id="11" xr3:uid="{00000000-0010-0000-0100-00000B000000}" name="類名" dataDxfId="45" totalsRowDxfId="44" dataCellStyle="一般 2">
      <calculatedColumnFormula>CONCATENATE(參考!B$1,[資料表詳細]資料表詳細表格[[#This Row],[表名]])</calculatedColumnFormula>
    </tableColumn>
    <tableColumn id="12" xr3:uid="{00000000-0010-0000-0100-00000C000000}" name="屬性類型(C#)" dataDxfId="43" totalsRowDxfId="42" dataCellStyle="一般 2">
      <calculatedColumnFormula>VLOOKUP([資料表詳細]資料表詳細表格[[#This Row],[屬性類型(Postgre)]],選單!$A$3:$B$20,2,FALSE)</calculatedColumnFormula>
    </tableColumn>
    <tableColumn id="13" xr3:uid="{00000000-0010-0000-0100-00000D000000}" name="屬性名(Csharp)" dataDxfId="41" totalsRowDxfId="40" dataCellStyle="一般 2">
      <calculatedColumnFormula>CONCATENATE(參考!B$2,[資料表詳細]資料表詳細表格[[#This Row],[欄位名稱(英)]])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9000000}" name="[dmd_pre_record_message]表格" displayName="[dmd_pre_record_message]表格" ref="A3:E98" totalsRowShown="0" headerRowDxfId="39" dataDxfId="37" headerRowBorderDxfId="38" tableBorderDxfId="36">
  <autoFilter ref="A3:E98" xr:uid="{00000000-0009-0000-0100-000016000000}"/>
  <tableColumns count="5">
    <tableColumn id="3" xr3:uid="{00000000-0010-0000-1900-000003000000}" name="訊息編號" dataDxfId="35"/>
    <tableColumn id="5" xr3:uid="{00000000-0010-0000-1900-000005000000}" name="訊息名稱" dataDxfId="34"/>
    <tableColumn id="11" xr3:uid="{00000000-0010-0000-1900-00000B000000}" name="中文訊息內容" dataDxfId="33"/>
    <tableColumn id="1" xr3:uid="{DA44B71E-5016-478E-A77F-B18D12972245}" name="所屬群組編號" dataDxfId="32"/>
    <tableColumn id="4" xr3:uid="{1B392901-1E69-4C1D-B414-3928BA5F9D87}" name="是否使用DU" dataDxfId="3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1E000000}" name="資料表表格4" displayName="資料表表格4" ref="E9:H11" totalsRowShown="0" headerRowDxfId="30" dataDxfId="29" headerRowCellStyle="一般 2">
  <autoFilter ref="E9:H11" xr:uid="{00000000-0009-0000-0100-000001000000}"/>
  <tableColumns count="4">
    <tableColumn id="1" xr3:uid="{00000000-0010-0000-1E00-000001000000}" name="欄位名(中)1" dataDxfId="28"/>
    <tableColumn id="2" xr3:uid="{00000000-0010-0000-1E00-000002000000}" name="欄位名(中)2" dataDxfId="27"/>
    <tableColumn id="3" xr3:uid="{00000000-0010-0000-1E00-000003000000}" name="欄位名(中)3" dataDxfId="26"/>
    <tableColumn id="5" xr3:uid="{00000000-0010-0000-1E00-000005000000}" name="欄位名(中)4" dataDxfId="2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F000000}" name="資料表表格3" displayName="資料表表格3" ref="F3:H5" totalsRowShown="0" headerRowDxfId="24" dataDxfId="22" headerRowBorderDxfId="23" headerRowCellStyle="一般 2">
  <autoFilter ref="F3:H5" xr:uid="{00000000-0009-0000-0100-000011000000}"/>
  <tableColumns count="3">
    <tableColumn id="1" xr3:uid="{00000000-0010-0000-1F00-000001000000}" name="欄位名(中)1" dataDxfId="21"/>
    <tableColumn id="2" xr3:uid="{00000000-0010-0000-1F00-000002000000}" name="欄位名(中)2" dataDxfId="20"/>
    <tableColumn id="3" xr3:uid="{00000000-0010-0000-1F00-000003000000}" name="欄位名(中)3" dataDxfId="19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20000000}" name="資料表表格5" displayName="資料表表格5" ref="D15:H17" totalsRowShown="0" headerRowDxfId="18" dataDxfId="16" headerRowBorderDxfId="17" headerRowCellStyle="一般 2">
  <autoFilter ref="D15:H17" xr:uid="{00000000-0009-0000-0100-000012000000}"/>
  <tableColumns count="5">
    <tableColumn id="1" xr3:uid="{00000000-0010-0000-2000-000001000000}" name="欄位名(中)1" dataDxfId="15"/>
    <tableColumn id="2" xr3:uid="{00000000-0010-0000-2000-000002000000}" name="欄位名(中)2" dataDxfId="14"/>
    <tableColumn id="3" xr3:uid="{00000000-0010-0000-2000-000003000000}" name="欄位名(中)3" dataDxfId="13"/>
    <tableColumn id="6" xr3:uid="{00000000-0010-0000-2000-000006000000}" name="欄位名(中)4" dataDxfId="12"/>
    <tableColumn id="5" xr3:uid="{00000000-0010-0000-2000-000005000000}" name="欄位名(中)5" dataDxfId="1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21000000}" name="資料表表格6" displayName="資料表表格6" ref="C21:H23" totalsRowShown="0" headerRowDxfId="10" dataDxfId="8" headerRowBorderDxfId="9" tableBorderDxfId="7" totalsRowBorderDxfId="6" headerRowCellStyle="一般 2">
  <autoFilter ref="C21:H23" xr:uid="{00000000-0009-0000-0100-000013000000}"/>
  <tableColumns count="6">
    <tableColumn id="1" xr3:uid="{00000000-0010-0000-2100-000001000000}" name="欄位名(中)1" dataDxfId="5"/>
    <tableColumn id="2" xr3:uid="{00000000-0010-0000-2100-000002000000}" name="欄位名(中)2" dataDxfId="4"/>
    <tableColumn id="3" xr3:uid="{00000000-0010-0000-2100-000003000000}" name="欄位名(中)3" dataDxfId="3"/>
    <tableColumn id="4" xr3:uid="{00000000-0010-0000-2100-000004000000}" name="欄位名(中)4" dataDxfId="2"/>
    <tableColumn id="5" xr3:uid="{00000000-0010-0000-2100-000005000000}" name="欄位名(中)5" dataDxfId="1"/>
    <tableColumn id="6" xr3:uid="{00000000-0010-0000-2100-000006000000}" name="欄位名(中)6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4" tint="-0.249977111117893"/>
  </sheetPr>
  <dimension ref="A1:K47"/>
  <sheetViews>
    <sheetView zoomScale="115" zoomScaleNormal="115" workbookViewId="0">
      <pane xSplit="3" ySplit="2" topLeftCell="D35" activePane="bottomRight" state="frozen"/>
      <selection pane="topRight" activeCell="D1" sqref="D1"/>
      <selection pane="bottomLeft" activeCell="A3" sqref="A3"/>
      <selection pane="bottomRight" activeCell="F46" sqref="F46"/>
    </sheetView>
  </sheetViews>
  <sheetFormatPr defaultColWidth="8.875" defaultRowHeight="16.5"/>
  <cols>
    <col min="1" max="1" width="13.875" style="1" bestFit="1" customWidth="1"/>
    <col min="2" max="2" width="13.875" style="3" customWidth="1"/>
    <col min="3" max="3" width="38" style="1" bestFit="1" customWidth="1"/>
    <col min="4" max="4" width="31" style="1" bestFit="1" customWidth="1"/>
    <col min="5" max="5" width="56.125" bestFit="1" customWidth="1"/>
    <col min="6" max="6" width="38" style="5" bestFit="1" customWidth="1"/>
    <col min="7" max="9" width="9.75" bestFit="1" customWidth="1"/>
    <col min="10" max="11" width="10.625" style="3" bestFit="1" customWidth="1"/>
    <col min="12" max="16384" width="8.875" style="1"/>
  </cols>
  <sheetData>
    <row r="1" spans="1:11" ht="30.75">
      <c r="A1" s="163" t="s">
        <v>189</v>
      </c>
      <c r="B1" s="163"/>
      <c r="C1" s="163"/>
      <c r="D1" s="163"/>
      <c r="E1" s="163"/>
      <c r="F1" s="163"/>
      <c r="G1" s="164" t="s">
        <v>977</v>
      </c>
      <c r="H1" s="165"/>
      <c r="I1" s="166"/>
      <c r="J1" s="1"/>
      <c r="K1" s="1"/>
    </row>
    <row r="2" spans="1:11">
      <c r="A2" s="44" t="s">
        <v>975</v>
      </c>
      <c r="B2" s="44" t="s">
        <v>169</v>
      </c>
      <c r="C2" s="44" t="s">
        <v>160</v>
      </c>
      <c r="D2" s="44" t="s">
        <v>172</v>
      </c>
      <c r="E2" s="44" t="s">
        <v>284</v>
      </c>
      <c r="F2" s="44" t="s">
        <v>1065</v>
      </c>
      <c r="G2" s="75" t="s">
        <v>902</v>
      </c>
      <c r="H2" s="75" t="s">
        <v>903</v>
      </c>
      <c r="I2" s="75" t="s">
        <v>904</v>
      </c>
      <c r="J2" s="1"/>
      <c r="K2" s="1"/>
    </row>
    <row r="3" spans="1:11" ht="31.5">
      <c r="A3" s="40" t="s">
        <v>18</v>
      </c>
      <c r="B3" s="41">
        <v>1</v>
      </c>
      <c r="C3" s="42" t="s">
        <v>21</v>
      </c>
      <c r="D3" s="43" t="s">
        <v>174</v>
      </c>
      <c r="E3" s="68" t="s">
        <v>285</v>
      </c>
      <c r="F3" s="55" t="s">
        <v>136</v>
      </c>
      <c r="G3" s="76" t="s">
        <v>782</v>
      </c>
      <c r="H3" s="76" t="s">
        <v>782</v>
      </c>
      <c r="I3" s="76" t="s">
        <v>782</v>
      </c>
      <c r="J3" s="1"/>
      <c r="K3" s="1"/>
    </row>
    <row r="4" spans="1:11" ht="20.25">
      <c r="A4" s="27" t="s">
        <v>36</v>
      </c>
      <c r="B4" s="25">
        <v>2</v>
      </c>
      <c r="C4" s="26" t="s">
        <v>135</v>
      </c>
      <c r="D4" s="28" t="s">
        <v>125</v>
      </c>
      <c r="E4" s="69" t="s">
        <v>833</v>
      </c>
      <c r="F4" s="55" t="s">
        <v>137</v>
      </c>
      <c r="G4" s="77" t="s">
        <v>782</v>
      </c>
      <c r="H4" s="77" t="s">
        <v>782</v>
      </c>
      <c r="I4" s="77" t="s">
        <v>782</v>
      </c>
      <c r="J4" s="1"/>
      <c r="K4" s="1"/>
    </row>
    <row r="5" spans="1:11" ht="20.25">
      <c r="A5" s="27" t="s">
        <v>36</v>
      </c>
      <c r="B5" s="56">
        <v>3</v>
      </c>
      <c r="C5" s="57" t="s">
        <v>220</v>
      </c>
      <c r="D5" s="29" t="s">
        <v>214</v>
      </c>
      <c r="E5" s="69" t="s">
        <v>834</v>
      </c>
      <c r="F5" s="63" t="s">
        <v>220</v>
      </c>
      <c r="G5" s="77" t="s">
        <v>782</v>
      </c>
      <c r="H5" s="77" t="s">
        <v>782</v>
      </c>
      <c r="I5" s="77" t="s">
        <v>782</v>
      </c>
      <c r="J5" s="1"/>
      <c r="K5" s="1"/>
    </row>
    <row r="6" spans="1:11" ht="20.25">
      <c r="A6" s="27" t="s">
        <v>36</v>
      </c>
      <c r="B6" s="25">
        <v>4</v>
      </c>
      <c r="C6" s="26" t="s">
        <v>92</v>
      </c>
      <c r="D6" s="28" t="s">
        <v>175</v>
      </c>
      <c r="E6" s="69" t="s">
        <v>853</v>
      </c>
      <c r="F6" s="64"/>
      <c r="G6" s="77" t="s">
        <v>905</v>
      </c>
      <c r="H6" s="77" t="s">
        <v>782</v>
      </c>
      <c r="I6" s="77" t="s">
        <v>782</v>
      </c>
      <c r="J6" s="1"/>
      <c r="K6" s="1"/>
    </row>
    <row r="7" spans="1:11" ht="20.25">
      <c r="A7" s="27" t="s">
        <v>36</v>
      </c>
      <c r="B7" s="25">
        <v>5</v>
      </c>
      <c r="C7" s="26" t="s">
        <v>93</v>
      </c>
      <c r="D7" s="28" t="s">
        <v>496</v>
      </c>
      <c r="E7" s="69" t="s">
        <v>852</v>
      </c>
      <c r="F7" s="64"/>
      <c r="G7" s="77" t="s">
        <v>782</v>
      </c>
      <c r="H7" s="77" t="s">
        <v>782</v>
      </c>
      <c r="I7" s="77" t="s">
        <v>782</v>
      </c>
      <c r="J7" s="1"/>
      <c r="K7" s="1"/>
    </row>
    <row r="8" spans="1:11" ht="20.25">
      <c r="A8" s="27" t="s">
        <v>36</v>
      </c>
      <c r="B8" s="25">
        <v>6</v>
      </c>
      <c r="C8" s="26" t="s">
        <v>475</v>
      </c>
      <c r="D8" s="29" t="s">
        <v>467</v>
      </c>
      <c r="E8" s="69" t="s">
        <v>851</v>
      </c>
      <c r="F8" s="55" t="s">
        <v>475</v>
      </c>
      <c r="G8" s="77" t="s">
        <v>782</v>
      </c>
      <c r="H8" s="77" t="s">
        <v>782</v>
      </c>
      <c r="I8" s="77" t="s">
        <v>782</v>
      </c>
      <c r="J8" s="1"/>
      <c r="K8" s="1"/>
    </row>
    <row r="9" spans="1:11" ht="20.25">
      <c r="A9" s="27" t="s">
        <v>36</v>
      </c>
      <c r="B9" s="31">
        <v>7</v>
      </c>
      <c r="C9" s="26" t="s">
        <v>507</v>
      </c>
      <c r="D9" s="29" t="s">
        <v>494</v>
      </c>
      <c r="E9" s="70" t="s">
        <v>849</v>
      </c>
      <c r="F9" s="53" t="s">
        <v>507</v>
      </c>
      <c r="G9" s="78" t="s">
        <v>782</v>
      </c>
      <c r="H9" s="78" t="s">
        <v>905</v>
      </c>
      <c r="I9" s="78" t="s">
        <v>782</v>
      </c>
      <c r="J9" s="1"/>
      <c r="K9" s="1"/>
    </row>
    <row r="10" spans="1:11" ht="20.25">
      <c r="A10" s="27" t="s">
        <v>36</v>
      </c>
      <c r="B10" s="31">
        <v>8</v>
      </c>
      <c r="C10" s="26" t="s">
        <v>508</v>
      </c>
      <c r="D10" s="29" t="s">
        <v>495</v>
      </c>
      <c r="E10" s="70" t="s">
        <v>850</v>
      </c>
      <c r="F10" s="38"/>
      <c r="G10" s="78" t="s">
        <v>782</v>
      </c>
      <c r="H10" s="78" t="s">
        <v>782</v>
      </c>
      <c r="I10" s="78" t="s">
        <v>782</v>
      </c>
      <c r="J10" s="1"/>
      <c r="K10" s="1"/>
    </row>
    <row r="11" spans="1:11" ht="20.25">
      <c r="A11" s="27" t="s">
        <v>36</v>
      </c>
      <c r="B11" s="25">
        <v>9</v>
      </c>
      <c r="C11" s="51" t="s">
        <v>909</v>
      </c>
      <c r="D11" s="29" t="s">
        <v>910</v>
      </c>
      <c r="E11" s="70"/>
      <c r="F11" s="73"/>
      <c r="G11" s="78" t="s">
        <v>782</v>
      </c>
      <c r="H11" s="78" t="s">
        <v>782</v>
      </c>
      <c r="I11" s="78" t="s">
        <v>782</v>
      </c>
      <c r="J11" s="1"/>
      <c r="K11" s="1"/>
    </row>
    <row r="12" spans="1:11" ht="20.25">
      <c r="A12" s="27" t="s">
        <v>36</v>
      </c>
      <c r="B12" s="41">
        <v>10</v>
      </c>
      <c r="C12" s="26" t="s">
        <v>957</v>
      </c>
      <c r="D12" s="29" t="s">
        <v>959</v>
      </c>
      <c r="E12" s="70" t="s">
        <v>916</v>
      </c>
      <c r="F12" s="53" t="s">
        <v>958</v>
      </c>
      <c r="G12" s="78" t="s">
        <v>782</v>
      </c>
      <c r="H12" s="78" t="s">
        <v>782</v>
      </c>
      <c r="I12" s="78" t="s">
        <v>782</v>
      </c>
      <c r="J12" s="1"/>
      <c r="K12" s="1"/>
    </row>
    <row r="13" spans="1:11" ht="20.25">
      <c r="A13" s="27" t="s">
        <v>36</v>
      </c>
      <c r="B13" s="25">
        <v>11</v>
      </c>
      <c r="C13" s="26" t="s">
        <v>865</v>
      </c>
      <c r="D13" s="29" t="s">
        <v>815</v>
      </c>
      <c r="E13" s="70" t="s">
        <v>835</v>
      </c>
      <c r="F13" s="55" t="s">
        <v>837</v>
      </c>
      <c r="G13" s="78" t="s">
        <v>782</v>
      </c>
      <c r="H13" s="78" t="s">
        <v>782</v>
      </c>
      <c r="I13" s="78" t="s">
        <v>782</v>
      </c>
      <c r="J13" s="1"/>
      <c r="K13" s="1"/>
    </row>
    <row r="14" spans="1:11" ht="20.25">
      <c r="A14" s="27" t="s">
        <v>36</v>
      </c>
      <c r="B14" s="41">
        <v>12</v>
      </c>
      <c r="C14" s="26" t="s">
        <v>832</v>
      </c>
      <c r="D14" s="29" t="s">
        <v>855</v>
      </c>
      <c r="E14" s="70" t="s">
        <v>836</v>
      </c>
      <c r="F14" s="55"/>
      <c r="G14" s="78" t="s">
        <v>782</v>
      </c>
      <c r="H14" s="78" t="s">
        <v>782</v>
      </c>
      <c r="I14" s="78" t="s">
        <v>782</v>
      </c>
      <c r="J14" s="1"/>
      <c r="K14" s="1"/>
    </row>
    <row r="15" spans="1:11" ht="20.25">
      <c r="A15" s="24" t="s">
        <v>19</v>
      </c>
      <c r="B15" s="25">
        <v>13</v>
      </c>
      <c r="C15" s="26" t="s">
        <v>105</v>
      </c>
      <c r="D15" s="28" t="s">
        <v>171</v>
      </c>
      <c r="E15" s="69" t="s">
        <v>840</v>
      </c>
      <c r="F15" s="55" t="s">
        <v>177</v>
      </c>
      <c r="G15" s="77" t="s">
        <v>782</v>
      </c>
      <c r="H15" s="77" t="s">
        <v>782</v>
      </c>
      <c r="I15" s="77" t="s">
        <v>782</v>
      </c>
      <c r="J15" s="1"/>
      <c r="K15" s="1"/>
    </row>
    <row r="16" spans="1:11" ht="20.25">
      <c r="A16" s="27" t="s">
        <v>19</v>
      </c>
      <c r="B16" s="41">
        <v>14</v>
      </c>
      <c r="C16" s="26" t="s">
        <v>50</v>
      </c>
      <c r="D16" s="28" t="s">
        <v>112</v>
      </c>
      <c r="E16" s="71" t="s">
        <v>841</v>
      </c>
      <c r="F16" s="53" t="s">
        <v>50</v>
      </c>
      <c r="G16" s="79" t="s">
        <v>905</v>
      </c>
      <c r="H16" s="79" t="s">
        <v>905</v>
      </c>
      <c r="I16" s="79" t="s">
        <v>905</v>
      </c>
      <c r="J16" s="1"/>
      <c r="K16" s="1"/>
    </row>
    <row r="17" spans="1:11" ht="20.25">
      <c r="A17" s="27" t="s">
        <v>19</v>
      </c>
      <c r="B17" s="25">
        <v>15</v>
      </c>
      <c r="C17" s="26" t="s">
        <v>51</v>
      </c>
      <c r="D17" s="28" t="s">
        <v>176</v>
      </c>
      <c r="E17" s="69" t="s">
        <v>842</v>
      </c>
      <c r="F17" s="46" t="s">
        <v>347</v>
      </c>
      <c r="G17" s="77" t="s">
        <v>905</v>
      </c>
      <c r="H17" s="77" t="s">
        <v>905</v>
      </c>
      <c r="I17" s="77" t="s">
        <v>905</v>
      </c>
      <c r="J17" s="1"/>
      <c r="K17" s="1"/>
    </row>
    <row r="18" spans="1:11" ht="20.25">
      <c r="A18" s="27" t="s">
        <v>19</v>
      </c>
      <c r="B18" s="41">
        <v>16</v>
      </c>
      <c r="C18" s="26" t="s">
        <v>107</v>
      </c>
      <c r="D18" s="28" t="s">
        <v>113</v>
      </c>
      <c r="E18" s="69" t="s">
        <v>843</v>
      </c>
      <c r="F18" s="46" t="s">
        <v>107</v>
      </c>
      <c r="G18" s="77" t="s">
        <v>905</v>
      </c>
      <c r="H18" s="77" t="s">
        <v>905</v>
      </c>
      <c r="I18" s="77" t="s">
        <v>905</v>
      </c>
      <c r="J18" s="1"/>
      <c r="K18" s="1"/>
    </row>
    <row r="19" spans="1:11" ht="20.25">
      <c r="A19" s="24" t="s">
        <v>131</v>
      </c>
      <c r="B19" s="25">
        <v>17</v>
      </c>
      <c r="C19" s="26" t="s">
        <v>323</v>
      </c>
      <c r="D19" s="28" t="s">
        <v>314</v>
      </c>
      <c r="E19" s="69" t="s">
        <v>844</v>
      </c>
      <c r="F19" s="55" t="s">
        <v>323</v>
      </c>
      <c r="G19" s="77" t="s">
        <v>782</v>
      </c>
      <c r="H19" s="77" t="s">
        <v>782</v>
      </c>
      <c r="I19" s="77" t="s">
        <v>782</v>
      </c>
      <c r="J19" s="1"/>
      <c r="K19" s="1"/>
    </row>
    <row r="20" spans="1:11" ht="21">
      <c r="A20" s="27" t="s">
        <v>131</v>
      </c>
      <c r="B20" s="41">
        <v>18</v>
      </c>
      <c r="C20" s="26" t="s">
        <v>317</v>
      </c>
      <c r="D20" s="29" t="s">
        <v>319</v>
      </c>
      <c r="E20" s="69" t="s">
        <v>845</v>
      </c>
      <c r="F20" s="37"/>
      <c r="G20" s="77" t="s">
        <v>905</v>
      </c>
      <c r="H20" s="77" t="s">
        <v>905</v>
      </c>
      <c r="I20" s="77" t="s">
        <v>905</v>
      </c>
      <c r="J20" s="1"/>
      <c r="K20" s="1"/>
    </row>
    <row r="21" spans="1:11" ht="20.25">
      <c r="A21" s="34" t="s">
        <v>131</v>
      </c>
      <c r="B21" s="25">
        <v>19</v>
      </c>
      <c r="C21" s="26" t="s">
        <v>318</v>
      </c>
      <c r="D21" s="29" t="s">
        <v>320</v>
      </c>
      <c r="E21" s="69" t="s">
        <v>846</v>
      </c>
      <c r="F21" s="38"/>
      <c r="G21" s="77" t="s">
        <v>905</v>
      </c>
      <c r="H21" s="77" t="s">
        <v>905</v>
      </c>
      <c r="I21" s="77" t="s">
        <v>905</v>
      </c>
      <c r="J21" s="1"/>
      <c r="K21" s="1"/>
    </row>
    <row r="22" spans="1:11" ht="20.25">
      <c r="A22" s="34" t="s">
        <v>131</v>
      </c>
      <c r="B22" s="41">
        <v>20</v>
      </c>
      <c r="C22" s="26" t="s">
        <v>343</v>
      </c>
      <c r="D22" s="29" t="s">
        <v>325</v>
      </c>
      <c r="E22" s="69" t="s">
        <v>847</v>
      </c>
      <c r="F22" s="55" t="s">
        <v>324</v>
      </c>
      <c r="G22" s="77" t="s">
        <v>782</v>
      </c>
      <c r="H22" s="77" t="s">
        <v>905</v>
      </c>
      <c r="I22" s="77" t="s">
        <v>782</v>
      </c>
      <c r="J22" s="1"/>
      <c r="K22" s="1"/>
    </row>
    <row r="23" spans="1:11" ht="20.25">
      <c r="A23" s="34" t="s">
        <v>131</v>
      </c>
      <c r="B23" s="25">
        <v>21</v>
      </c>
      <c r="C23" s="26" t="s">
        <v>362</v>
      </c>
      <c r="D23" s="29" t="s">
        <v>425</v>
      </c>
      <c r="E23" s="70" t="s">
        <v>848</v>
      </c>
      <c r="F23" s="65"/>
      <c r="G23" s="78" t="s">
        <v>905</v>
      </c>
      <c r="H23" s="78" t="s">
        <v>905</v>
      </c>
      <c r="I23" s="78" t="s">
        <v>905</v>
      </c>
      <c r="J23" s="1"/>
      <c r="K23" s="1"/>
    </row>
    <row r="24" spans="1:11" ht="20.25">
      <c r="A24" s="34" t="s">
        <v>131</v>
      </c>
      <c r="B24" s="41">
        <v>22</v>
      </c>
      <c r="C24" s="26" t="s">
        <v>364</v>
      </c>
      <c r="D24" s="29" t="s">
        <v>426</v>
      </c>
      <c r="E24" s="70" t="s">
        <v>854</v>
      </c>
      <c r="F24" s="65"/>
      <c r="G24" s="78" t="s">
        <v>905</v>
      </c>
      <c r="H24" s="78" t="s">
        <v>905</v>
      </c>
      <c r="I24" s="78" t="s">
        <v>905</v>
      </c>
      <c r="J24" s="1"/>
      <c r="K24" s="1"/>
    </row>
    <row r="25" spans="1:11" ht="31.5">
      <c r="A25" s="34" t="s">
        <v>131</v>
      </c>
      <c r="B25" s="25">
        <v>23</v>
      </c>
      <c r="C25" s="26" t="s">
        <v>430</v>
      </c>
      <c r="D25" s="29" t="s">
        <v>427</v>
      </c>
      <c r="E25" s="70" t="s">
        <v>974</v>
      </c>
      <c r="F25" s="55" t="s">
        <v>424</v>
      </c>
      <c r="G25" s="78" t="s">
        <v>782</v>
      </c>
      <c r="H25" s="78" t="s">
        <v>905</v>
      </c>
      <c r="I25" s="78" t="s">
        <v>782</v>
      </c>
      <c r="J25" s="1"/>
      <c r="K25" s="1"/>
    </row>
    <row r="26" spans="1:11" ht="20.25">
      <c r="A26" s="34" t="s">
        <v>131</v>
      </c>
      <c r="B26" s="41">
        <v>24</v>
      </c>
      <c r="C26" s="26" t="s">
        <v>441</v>
      </c>
      <c r="D26" s="29" t="s">
        <v>442</v>
      </c>
      <c r="E26" s="70" t="s">
        <v>464</v>
      </c>
      <c r="F26" s="65"/>
      <c r="G26" s="78" t="s">
        <v>905</v>
      </c>
      <c r="H26" s="78" t="s">
        <v>905</v>
      </c>
      <c r="I26" s="78" t="s">
        <v>905</v>
      </c>
      <c r="J26" s="1"/>
      <c r="K26" s="1"/>
    </row>
    <row r="27" spans="1:11" ht="20.25">
      <c r="A27" s="24" t="s">
        <v>133</v>
      </c>
      <c r="B27" s="25">
        <v>25</v>
      </c>
      <c r="C27" s="26" t="s">
        <v>311</v>
      </c>
      <c r="D27" s="28" t="s">
        <v>315</v>
      </c>
      <c r="E27" s="69" t="s">
        <v>286</v>
      </c>
      <c r="F27" s="46" t="s">
        <v>311</v>
      </c>
      <c r="G27" s="77" t="s">
        <v>782</v>
      </c>
      <c r="H27" s="77" t="s">
        <v>782</v>
      </c>
      <c r="I27" s="77" t="s">
        <v>782</v>
      </c>
      <c r="J27" s="1"/>
      <c r="K27" s="1"/>
    </row>
    <row r="28" spans="1:11" ht="20.25">
      <c r="A28" s="30" t="s">
        <v>133</v>
      </c>
      <c r="B28" s="41">
        <v>26</v>
      </c>
      <c r="C28" s="26" t="s">
        <v>233</v>
      </c>
      <c r="D28" s="29" t="s">
        <v>234</v>
      </c>
      <c r="E28" s="69"/>
      <c r="F28" s="39"/>
      <c r="G28" s="77" t="s">
        <v>905</v>
      </c>
      <c r="H28" s="77" t="s">
        <v>905</v>
      </c>
      <c r="I28" s="77" t="s">
        <v>905</v>
      </c>
      <c r="J28" s="1"/>
      <c r="K28" s="1"/>
    </row>
    <row r="29" spans="1:11" ht="20.25">
      <c r="A29" s="30" t="s">
        <v>133</v>
      </c>
      <c r="B29" s="25">
        <v>27</v>
      </c>
      <c r="C29" s="26" t="s">
        <v>313</v>
      </c>
      <c r="D29" s="29" t="s">
        <v>316</v>
      </c>
      <c r="E29" s="69"/>
      <c r="F29" s="39"/>
      <c r="G29" s="77" t="s">
        <v>905</v>
      </c>
      <c r="H29" s="77" t="s">
        <v>905</v>
      </c>
      <c r="I29" s="77" t="s">
        <v>905</v>
      </c>
      <c r="J29" s="1"/>
      <c r="K29" s="1"/>
    </row>
    <row r="30" spans="1:11" ht="20.25">
      <c r="A30" s="30" t="s">
        <v>133</v>
      </c>
      <c r="B30" s="41">
        <v>28</v>
      </c>
      <c r="C30" s="26" t="s">
        <v>280</v>
      </c>
      <c r="D30" s="29" t="s">
        <v>243</v>
      </c>
      <c r="E30" s="69"/>
      <c r="F30" s="46" t="s">
        <v>280</v>
      </c>
      <c r="G30" s="77" t="s">
        <v>905</v>
      </c>
      <c r="H30" s="77" t="s">
        <v>905</v>
      </c>
      <c r="I30" s="77" t="s">
        <v>905</v>
      </c>
      <c r="J30" s="1"/>
      <c r="K30" s="1"/>
    </row>
    <row r="31" spans="1:11" ht="20.25">
      <c r="A31" s="30" t="s">
        <v>133</v>
      </c>
      <c r="B31" s="25">
        <v>29</v>
      </c>
      <c r="C31" s="26" t="s">
        <v>281</v>
      </c>
      <c r="D31" s="29" t="s">
        <v>282</v>
      </c>
      <c r="E31" s="69" t="s">
        <v>861</v>
      </c>
      <c r="F31" s="46"/>
      <c r="G31" s="77" t="s">
        <v>905</v>
      </c>
      <c r="H31" s="77" t="s">
        <v>782</v>
      </c>
      <c r="I31" s="77" t="s">
        <v>782</v>
      </c>
      <c r="J31" s="1"/>
      <c r="K31" s="1"/>
    </row>
    <row r="32" spans="1:11" ht="20.25">
      <c r="A32" s="30" t="s">
        <v>133</v>
      </c>
      <c r="B32" s="41">
        <v>30</v>
      </c>
      <c r="C32" s="26" t="s">
        <v>367</v>
      </c>
      <c r="D32" s="29" t="s">
        <v>368</v>
      </c>
      <c r="E32" s="70" t="s">
        <v>862</v>
      </c>
      <c r="F32" s="46" t="s">
        <v>367</v>
      </c>
      <c r="G32" s="78" t="s">
        <v>782</v>
      </c>
      <c r="H32" s="78" t="s">
        <v>905</v>
      </c>
      <c r="I32" s="78" t="s">
        <v>782</v>
      </c>
      <c r="J32" s="1"/>
      <c r="K32" s="1"/>
    </row>
    <row r="33" spans="1:11" ht="20.25">
      <c r="A33" s="30" t="s">
        <v>133</v>
      </c>
      <c r="B33" s="25">
        <v>31</v>
      </c>
      <c r="C33" s="26" t="s">
        <v>288</v>
      </c>
      <c r="D33" s="29" t="s">
        <v>289</v>
      </c>
      <c r="E33" s="69" t="s">
        <v>901</v>
      </c>
      <c r="F33" s="46" t="s">
        <v>288</v>
      </c>
      <c r="G33" s="77" t="s">
        <v>782</v>
      </c>
      <c r="H33" s="77" t="s">
        <v>782</v>
      </c>
      <c r="I33" s="77" t="s">
        <v>782</v>
      </c>
      <c r="J33" s="1"/>
      <c r="K33" s="1"/>
    </row>
    <row r="34" spans="1:11" ht="20.25">
      <c r="A34" s="30" t="s">
        <v>133</v>
      </c>
      <c r="B34" s="41">
        <v>32</v>
      </c>
      <c r="C34" s="26" t="s">
        <v>306</v>
      </c>
      <c r="D34" s="29" t="s">
        <v>294</v>
      </c>
      <c r="E34" s="68" t="s">
        <v>863</v>
      </c>
      <c r="F34" s="39"/>
      <c r="G34" s="76" t="s">
        <v>905</v>
      </c>
      <c r="H34" s="76" t="s">
        <v>905</v>
      </c>
      <c r="I34" s="76" t="s">
        <v>905</v>
      </c>
      <c r="J34" s="1"/>
      <c r="K34" s="1"/>
    </row>
    <row r="35" spans="1:11" ht="20.25">
      <c r="A35" s="30" t="s">
        <v>133</v>
      </c>
      <c r="B35" s="25">
        <v>33</v>
      </c>
      <c r="C35" s="26" t="s">
        <v>307</v>
      </c>
      <c r="D35" s="29" t="s">
        <v>304</v>
      </c>
      <c r="E35" s="69" t="s">
        <v>864</v>
      </c>
      <c r="F35" s="39"/>
      <c r="G35" s="77" t="s">
        <v>905</v>
      </c>
      <c r="H35" s="77" t="s">
        <v>905</v>
      </c>
      <c r="I35" s="77" t="s">
        <v>905</v>
      </c>
      <c r="J35" s="1"/>
      <c r="K35" s="1"/>
    </row>
    <row r="36" spans="1:11" ht="20.25">
      <c r="A36" s="30" t="s">
        <v>133</v>
      </c>
      <c r="B36" s="41">
        <v>34</v>
      </c>
      <c r="C36" s="26" t="s">
        <v>452</v>
      </c>
      <c r="D36" s="47" t="s">
        <v>453</v>
      </c>
      <c r="E36" s="72"/>
      <c r="F36" s="38"/>
      <c r="G36" s="80" t="s">
        <v>905</v>
      </c>
      <c r="H36" s="80" t="s">
        <v>782</v>
      </c>
      <c r="I36" s="80" t="s">
        <v>905</v>
      </c>
      <c r="J36" s="1"/>
      <c r="K36" s="1"/>
    </row>
    <row r="37" spans="1:11" ht="20.25">
      <c r="A37" s="52" t="s">
        <v>132</v>
      </c>
      <c r="B37" s="41">
        <v>36</v>
      </c>
      <c r="C37" s="26" t="s">
        <v>882</v>
      </c>
      <c r="D37" s="47" t="s">
        <v>883</v>
      </c>
      <c r="E37" s="72"/>
      <c r="F37" s="55" t="s">
        <v>882</v>
      </c>
      <c r="G37" s="80" t="s">
        <v>782</v>
      </c>
      <c r="H37" s="80" t="s">
        <v>782</v>
      </c>
      <c r="I37" s="80" t="s">
        <v>782</v>
      </c>
      <c r="J37" s="1"/>
      <c r="K37" s="1"/>
    </row>
    <row r="38" spans="1:11" ht="20.25">
      <c r="A38" s="67" t="s">
        <v>132</v>
      </c>
      <c r="B38" s="25">
        <v>37</v>
      </c>
      <c r="C38" s="26" t="s">
        <v>881</v>
      </c>
      <c r="D38" s="47" t="s">
        <v>884</v>
      </c>
      <c r="E38" s="72"/>
      <c r="F38" s="46" t="s">
        <v>881</v>
      </c>
      <c r="G38" s="80" t="s">
        <v>782</v>
      </c>
      <c r="H38" s="80" t="s">
        <v>782</v>
      </c>
      <c r="I38" s="80" t="s">
        <v>782</v>
      </c>
      <c r="K38" s="1"/>
    </row>
    <row r="39" spans="1:11" ht="20.25">
      <c r="A39" s="67" t="s">
        <v>132</v>
      </c>
      <c r="B39" s="41">
        <v>38</v>
      </c>
      <c r="C39" s="26" t="s">
        <v>900</v>
      </c>
      <c r="D39" s="47" t="s">
        <v>895</v>
      </c>
      <c r="E39" s="72"/>
      <c r="F39" s="46" t="s">
        <v>894</v>
      </c>
      <c r="G39" s="80" t="s">
        <v>782</v>
      </c>
      <c r="H39" s="80" t="s">
        <v>782</v>
      </c>
      <c r="I39" s="80" t="s">
        <v>782</v>
      </c>
      <c r="K39" s="1"/>
    </row>
    <row r="40" spans="1:11" ht="20.25">
      <c r="A40" s="52" t="s">
        <v>476</v>
      </c>
      <c r="B40" s="25">
        <v>39</v>
      </c>
      <c r="C40" s="26" t="s">
        <v>993</v>
      </c>
      <c r="D40" s="29" t="s">
        <v>1123</v>
      </c>
      <c r="E40" s="70"/>
      <c r="F40" s="141"/>
      <c r="G40" s="80"/>
      <c r="H40" s="79"/>
      <c r="I40" s="79"/>
    </row>
    <row r="41" spans="1:11" ht="20.25">
      <c r="A41" s="67" t="s">
        <v>476</v>
      </c>
      <c r="B41" s="41">
        <v>40</v>
      </c>
      <c r="C41" s="26" t="s">
        <v>1117</v>
      </c>
      <c r="D41" s="29" t="s">
        <v>1124</v>
      </c>
      <c r="E41" s="70"/>
      <c r="F41" s="73"/>
      <c r="G41" s="80"/>
      <c r="H41" s="79"/>
      <c r="I41" s="79"/>
    </row>
    <row r="42" spans="1:11" ht="20.25">
      <c r="A42" s="30" t="s">
        <v>476</v>
      </c>
      <c r="B42" s="25">
        <v>41</v>
      </c>
      <c r="C42" s="26" t="s">
        <v>1125</v>
      </c>
      <c r="D42" s="29" t="s">
        <v>1126</v>
      </c>
      <c r="E42" s="70"/>
      <c r="F42" s="73"/>
      <c r="G42" s="80"/>
      <c r="H42" s="79"/>
      <c r="I42" s="79"/>
    </row>
    <row r="43" spans="1:11" ht="20.25">
      <c r="A43" s="30" t="s">
        <v>476</v>
      </c>
      <c r="B43" s="25">
        <v>42</v>
      </c>
      <c r="C43" s="26" t="s">
        <v>1127</v>
      </c>
      <c r="D43" s="29" t="s">
        <v>1128</v>
      </c>
      <c r="E43" s="70"/>
      <c r="F43" s="73"/>
      <c r="G43" s="80"/>
      <c r="H43" s="79"/>
      <c r="I43" s="79"/>
    </row>
    <row r="44" spans="1:11" ht="20.25">
      <c r="A44" s="52" t="s">
        <v>476</v>
      </c>
      <c r="B44" s="25">
        <v>43</v>
      </c>
      <c r="C44" s="26" t="s">
        <v>1129</v>
      </c>
      <c r="D44" s="47" t="s">
        <v>1130</v>
      </c>
      <c r="E44" s="82"/>
      <c r="F44" s="149" t="s">
        <v>1137</v>
      </c>
      <c r="G44" s="80" t="s">
        <v>782</v>
      </c>
      <c r="H44" s="79" t="s">
        <v>782</v>
      </c>
      <c r="I44" s="79" t="s">
        <v>782</v>
      </c>
    </row>
    <row r="45" spans="1:11" ht="20.25">
      <c r="A45" s="66" t="s">
        <v>152</v>
      </c>
      <c r="B45" s="31">
        <v>44</v>
      </c>
      <c r="C45" s="51" t="s">
        <v>987</v>
      </c>
      <c r="D45" s="29" t="s">
        <v>1133</v>
      </c>
      <c r="E45" s="70" t="s">
        <v>1131</v>
      </c>
      <c r="F45" s="73"/>
      <c r="G45" s="80"/>
      <c r="H45" s="79"/>
      <c r="I45" s="79"/>
    </row>
    <row r="46" spans="1:11" ht="20.25">
      <c r="A46" s="66" t="s">
        <v>134</v>
      </c>
      <c r="B46" s="31">
        <v>45</v>
      </c>
      <c r="C46" s="51" t="s">
        <v>1132</v>
      </c>
      <c r="D46" s="29" t="s">
        <v>1134</v>
      </c>
      <c r="E46" s="70"/>
      <c r="F46" s="149" t="s">
        <v>1138</v>
      </c>
      <c r="G46" s="80" t="s">
        <v>782</v>
      </c>
      <c r="H46" s="79" t="s">
        <v>782</v>
      </c>
      <c r="I46" s="79" t="s">
        <v>782</v>
      </c>
    </row>
    <row r="47" spans="1:11" ht="20.25">
      <c r="A47" s="66" t="s">
        <v>134</v>
      </c>
      <c r="B47" s="31">
        <v>46</v>
      </c>
      <c r="C47" s="51" t="s">
        <v>1172</v>
      </c>
      <c r="D47" s="29" t="s">
        <v>1135</v>
      </c>
      <c r="E47" s="70"/>
      <c r="F47" s="149" t="s">
        <v>1172</v>
      </c>
      <c r="G47" s="80" t="s">
        <v>782</v>
      </c>
      <c r="H47" s="79" t="s">
        <v>1136</v>
      </c>
      <c r="I47" s="79" t="s">
        <v>782</v>
      </c>
    </row>
  </sheetData>
  <mergeCells count="2">
    <mergeCell ref="A1:F1"/>
    <mergeCell ref="G1:I1"/>
  </mergeCells>
  <phoneticPr fontId="1" type="noConversion"/>
  <hyperlinks>
    <hyperlink ref="F3" location="sys_config!A1" display="sys_config" xr:uid="{00000000-0004-0000-0000-000000000000}"/>
    <hyperlink ref="C3" location="[資料表詳細]sys_config" display="[資料表詳細]sys_config" xr:uid="{00000000-0004-0000-0000-000001000000}"/>
    <hyperlink ref="C4" location="[資料表詳細]sys_station" display="[資料表詳細]sys_station" xr:uid="{00000000-0004-0000-0000-000002000000}"/>
    <hyperlink ref="C6" location="[資料表詳細]sys_oper_log" display="[資料表詳細]sys_oper_log" xr:uid="{00000000-0004-0000-0000-000003000000}"/>
    <hyperlink ref="C7" location="[資料表詳細]dmd_power_setting" display="sys_oper_log_history" xr:uid="{00000000-0004-0000-0000-000004000000}"/>
    <hyperlink ref="C15" location="[資料表詳細]cmft_oper" display="[資料表詳細]cmft_oper" xr:uid="{00000000-0004-0000-0000-000005000000}"/>
    <hyperlink ref="C16" location="[資料表詳細]cmft_role" display="[資料表詳細]cmft_role" xr:uid="{00000000-0004-0000-0000-000006000000}"/>
    <hyperlink ref="C17" location="[資料表詳細]cmft_role_auth" display="[資料表詳細]cmft_role_auth" xr:uid="{00000000-0004-0000-0000-000007000000}"/>
    <hyperlink ref="C18" location="[資料表詳細]cmft_account" display="[資料表詳細]cmft_account" xr:uid="{00000000-0004-0000-0000-000008000000}"/>
    <hyperlink ref="C27" location="[資料表詳細]dmd_target" display="dmd_target" xr:uid="{00000000-0004-0000-0000-000009000000}"/>
    <hyperlink ref="F4" location="sys_station!A1" display="sys_station!A1" xr:uid="{00000000-0004-0000-0000-00000A000000}"/>
    <hyperlink ref="F15" location="cmft_oper!A1" display="cmft_oper!A1" xr:uid="{00000000-0004-0000-0000-00000B000000}"/>
    <hyperlink ref="F27" location="dmd_target!A1" display="dmd_target" xr:uid="{00000000-0004-0000-0000-00000C000000}"/>
    <hyperlink ref="C5" location="[資料表詳細]sys_station_area" display="sys_station_area" xr:uid="{00000000-0004-0000-0000-00000D000000}"/>
    <hyperlink ref="F5" location="sys_station_area!A1" display="sys_station_area" xr:uid="{00000000-0004-0000-0000-00000E000000}"/>
    <hyperlink ref="C28" location="[資料表詳細]dmd_group" display="dmd_group" xr:uid="{00000000-0004-0000-0000-00000F000000}"/>
    <hyperlink ref="C29" location="[資料表詳細]dmd_group_target" display="dmd_group_target" xr:uid="{00000000-0004-0000-0000-000010000000}"/>
    <hyperlink ref="C30" location="[資料表詳細]dmd_pre_record_message" display="dmd_pre_record_message" xr:uid="{00000000-0004-0000-0000-000011000000}"/>
    <hyperlink ref="C31" location="[資料表詳細]dmd_instant_message" display="dmd_instant_message" xr:uid="{00000000-0004-0000-0000-000012000000}"/>
    <hyperlink ref="C33" location="[資料表詳細]dmd_playlist" display="dmd_playlist" xr:uid="{00000000-0004-0000-0000-000013000000}"/>
    <hyperlink ref="C34" location="[資料表詳細]dmd_schedule" display="dmd_schedule" xr:uid="{00000000-0004-0000-0000-000014000000}"/>
    <hyperlink ref="C35" location="[資料表詳細]dmd_schedule_playlist" display="dmd_schedule_playlist" xr:uid="{00000000-0004-0000-0000-000015000000}"/>
    <hyperlink ref="C19" location="[資料表詳細]pa_target" display="pa_target" xr:uid="{00000000-0004-0000-0000-000016000000}"/>
    <hyperlink ref="C20" location="[資料表詳細]pa_group" display="pa_group" xr:uid="{00000000-0004-0000-0000-000017000000}"/>
    <hyperlink ref="C21" location="[資料表詳細]pa_group_target" display="pa_group_target" xr:uid="{00000000-0004-0000-0000-000018000000}"/>
    <hyperlink ref="F19" location="pa_target!A1" display="pa_target" xr:uid="{00000000-0004-0000-0000-000019000000}"/>
    <hyperlink ref="C22" location="[資料表詳細]pa_pre_record_voice" display="pa_pre_record_voice" xr:uid="{00000000-0004-0000-0000-00001A000000}"/>
    <hyperlink ref="F22" location="pa_pre_record_voice!A1" display="pa_pre_record_voice" xr:uid="{00000000-0004-0000-0000-00001B000000}"/>
    <hyperlink ref="C23" location="[資料表詳細]pa_schedule" display="pa_schedule" xr:uid="{00000000-0004-0000-0000-00001C000000}"/>
    <hyperlink ref="C24" location="[資料表詳細]pa_schedule_playlist" display="pa_schedule_playlist" xr:uid="{00000000-0004-0000-0000-00001D000000}"/>
    <hyperlink ref="C32" location="[資料表詳細]dmd_train_message" display="dmd_train_message" xr:uid="{00000000-0004-0000-0000-00001E000000}"/>
    <hyperlink ref="F32" location="dmd_train_message!A1" display="dmd_train_message" xr:uid="{00000000-0004-0000-0000-00001F000000}"/>
    <hyperlink ref="C25" location="[資料表詳細]pa_daypart_volume" display="pa_daypart_volume" xr:uid="{00000000-0004-0000-0000-000020000000}"/>
    <hyperlink ref="C26" location="[資料表詳細]pa_daypart_time" display="pa_daypart_time" xr:uid="{00000000-0004-0000-0000-000021000000}"/>
    <hyperlink ref="C36" location="[資料表詳細]dmd_power_setting" display="dmd_power_setting" xr:uid="{00000000-0004-0000-0000-000022000000}"/>
    <hyperlink ref="C8" location="[資料表詳細]sys_alarm_list" display="sys_alarm_list" xr:uid="{00000000-0004-0000-0000-000023000000}"/>
    <hyperlink ref="F8" location="sys_alarm_list!A1" display="sys_alarm_list" xr:uid="{00000000-0004-0000-0000-000024000000}"/>
    <hyperlink ref="C9" location="[資料表詳細]sys_alarm" display="sys_alarm" xr:uid="{00000000-0004-0000-0000-000025000000}"/>
    <hyperlink ref="C10" location="[資料表詳細]sys_alarm_history" display="sys_alarm_history" xr:uid="{00000000-0004-0000-0000-000026000000}"/>
    <hyperlink ref="F9" location="sys_alarm!A1" display="sys_alarm" xr:uid="{00000000-0004-0000-0000-000027000000}"/>
    <hyperlink ref="F25" location="[資料表詳細]pa_daypart_volume" display="pa_daypart_volume" xr:uid="{00000000-0004-0000-0000-000028000000}"/>
    <hyperlink ref="C37" location="[資料表詳細]dlts_seat_status" display="dlts_seat_status" xr:uid="{00000000-0004-0000-0000-000029000000}"/>
    <hyperlink ref="C13" location="[資料表詳細]sys_seat" display="sys_seat" xr:uid="{00000000-0004-0000-0000-00002A000000}"/>
    <hyperlink ref="C38" location="[資料表詳細]dlts_caller_display" display="dlts_caller_display" xr:uid="{00000000-0004-0000-0000-00002B000000}"/>
    <hyperlink ref="C39" location="[資料表詳細]dlts_caller_log" display="dlts_caller_log" xr:uid="{00000000-0004-0000-0000-00002C000000}"/>
    <hyperlink ref="C12" location="[資料表詳細]sys_equip" display="sys_equip" xr:uid="{00000000-0004-0000-0000-00002D000000}"/>
    <hyperlink ref="F12" location="sys_equip_stasus!A1" display="sys_equip_status" xr:uid="{00000000-0004-0000-0000-00002E000000}"/>
    <hyperlink ref="F13" location="sys_seat!A1" display="sys_seate" xr:uid="{00000000-0004-0000-0000-00002F000000}"/>
    <hyperlink ref="F37" location="dlts_seat_status!A1" display="dlts_seat_status" xr:uid="{00000000-0004-0000-0000-000030000000}"/>
    <hyperlink ref="F30" location="dmd_pre_record_message!A1" display="dmd_pre_record_message" xr:uid="{00000000-0004-0000-0000-000031000000}"/>
    <hyperlink ref="C14" location="[資料表詳細]sys_seat_equip" display="sys_seat_equip" xr:uid="{00000000-0004-0000-0000-000032000000}"/>
    <hyperlink ref="F33" location="dmd_playlist!A1" display="dmd_playlist" xr:uid="{00000000-0004-0000-0000-000036000000}"/>
    <hyperlink ref="F18" location="cmft_account!A1" display="cmft_account" xr:uid="{00000000-0004-0000-0000-000037000000}"/>
    <hyperlink ref="F38" location="dlts_caller_display!A1" display="dlts_caller_display" xr:uid="{00000000-0004-0000-0000-000038000000}"/>
    <hyperlink ref="F39" location="dlts_caller_log!A1" display="dlts_caller_log" xr:uid="{00000000-0004-0000-0000-000039000000}"/>
  </hyperlink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選單!$R$3:$R$11</xm:f>
          </x14:formula1>
          <xm:sqref>A3:A47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tabColor theme="7" tint="-0.249977111117893"/>
    <pageSetUpPr autoPageBreaks="0"/>
  </sheetPr>
  <dimension ref="A1:N464"/>
  <sheetViews>
    <sheetView zoomScale="115" zoomScaleNormal="115" workbookViewId="0">
      <pane xSplit="4" ySplit="3" topLeftCell="E449" activePane="bottomRight" state="frozen"/>
      <selection activeCell="H10" sqref="H10"/>
      <selection pane="topRight" activeCell="H10" sqref="H10"/>
      <selection pane="bottomLeft" activeCell="H10" sqref="H10"/>
      <selection pane="bottomRight" activeCell="G467" sqref="G467"/>
    </sheetView>
  </sheetViews>
  <sheetFormatPr defaultColWidth="8.875" defaultRowHeight="15.75"/>
  <cols>
    <col min="1" max="1" width="8.25" style="9" bestFit="1" customWidth="1"/>
    <col min="2" max="2" width="14.5" style="9" bestFit="1" customWidth="1"/>
    <col min="3" max="3" width="29.125" style="9" bestFit="1" customWidth="1"/>
    <col min="4" max="4" width="12.375" style="9" bestFit="1" customWidth="1"/>
    <col min="5" max="5" width="31.5" style="74" bestFit="1" customWidth="1"/>
    <col min="6" max="6" width="21.5" style="9" bestFit="1" customWidth="1"/>
    <col min="7" max="7" width="33.375" style="9" customWidth="1"/>
    <col min="8" max="8" width="8.25" style="9" customWidth="1"/>
    <col min="9" max="9" width="8.25" style="74" customWidth="1"/>
    <col min="10" max="10" width="15.375" style="74" customWidth="1"/>
    <col min="11" max="11" width="40.75" style="74" customWidth="1"/>
    <col min="12" max="12" width="29.125" style="9" customWidth="1"/>
    <col min="13" max="13" width="16.625" style="9" bestFit="1" customWidth="1"/>
    <col min="14" max="14" width="31.5" style="9" bestFit="1" customWidth="1"/>
    <col min="15" max="15" width="7.75" style="9" customWidth="1"/>
    <col min="16" max="16384" width="8.875" style="9"/>
  </cols>
  <sheetData>
    <row r="1" spans="1:14" ht="30.75">
      <c r="A1" s="170" t="s">
        <v>190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37"/>
      <c r="M1" s="137"/>
      <c r="N1" s="137"/>
    </row>
    <row r="2" spans="1:14" ht="16.5">
      <c r="A2" s="168" t="s">
        <v>182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7" t="s">
        <v>183</v>
      </c>
      <c r="M2" s="167"/>
      <c r="N2" s="167"/>
    </row>
    <row r="3" spans="1:14" s="48" customFormat="1" ht="16.5">
      <c r="A3" s="138" t="s">
        <v>940</v>
      </c>
      <c r="B3" s="138" t="s">
        <v>976</v>
      </c>
      <c r="C3" s="138" t="s">
        <v>164</v>
      </c>
      <c r="D3" s="138" t="s">
        <v>162</v>
      </c>
      <c r="E3" s="138" t="s">
        <v>165</v>
      </c>
      <c r="F3" s="138" t="s">
        <v>166</v>
      </c>
      <c r="G3" s="138" t="s">
        <v>185</v>
      </c>
      <c r="H3" s="138" t="s">
        <v>167</v>
      </c>
      <c r="I3" s="138" t="s">
        <v>22</v>
      </c>
      <c r="J3" s="138" t="s">
        <v>168</v>
      </c>
      <c r="K3" s="138" t="s">
        <v>161</v>
      </c>
      <c r="L3" s="139" t="s">
        <v>163</v>
      </c>
      <c r="M3" s="139" t="s">
        <v>211</v>
      </c>
      <c r="N3" s="139" t="s">
        <v>186</v>
      </c>
    </row>
    <row r="4" spans="1:14" s="2" customFormat="1">
      <c r="A4" s="74">
        <v>1</v>
      </c>
      <c r="B4" s="20" t="s">
        <v>36</v>
      </c>
      <c r="C4" s="18" t="s">
        <v>40</v>
      </c>
      <c r="D4" s="19">
        <v>1</v>
      </c>
      <c r="E4" s="20" t="s">
        <v>38</v>
      </c>
      <c r="F4" s="20" t="s">
        <v>140</v>
      </c>
      <c r="G4" s="20" t="s">
        <v>0</v>
      </c>
      <c r="H4" s="21">
        <v>30</v>
      </c>
      <c r="I4" s="21" t="s">
        <v>32</v>
      </c>
      <c r="J4" s="21" t="s">
        <v>26</v>
      </c>
      <c r="K4" s="20"/>
      <c r="L4" s="20" t="str">
        <f>CONCATENATE(參考!B$1,[資料表詳細]資料表詳細表格[[#This Row],[表名]])</f>
        <v>sys_config</v>
      </c>
      <c r="M4" s="2" t="str">
        <f>VLOOKUP([資料表詳細]資料表詳細表格[[#This Row],[屬性類型(Postgre)]],選單!$A$3:$B$20,2,FALSE)</f>
        <v>string</v>
      </c>
      <c r="N4" s="20" t="str">
        <f>CONCATENATE(參考!B$2,[資料表詳細]資料表詳細表格[[#This Row],[欄位名稱(英)]])</f>
        <v>config_name</v>
      </c>
    </row>
    <row r="5" spans="1:14" s="2" customFormat="1">
      <c r="A5" s="74">
        <v>2</v>
      </c>
      <c r="B5" s="22" t="s">
        <v>36</v>
      </c>
      <c r="C5" s="22" t="s">
        <v>37</v>
      </c>
      <c r="D5" s="19">
        <v>2</v>
      </c>
      <c r="E5" s="20" t="s">
        <v>25</v>
      </c>
      <c r="F5" s="20" t="s">
        <v>141</v>
      </c>
      <c r="G5" s="20" t="s">
        <v>14</v>
      </c>
      <c r="H5" s="21"/>
      <c r="I5" s="21" t="s">
        <v>34</v>
      </c>
      <c r="J5" s="21"/>
      <c r="K5" s="20"/>
      <c r="L5" s="20" t="str">
        <f>CONCATENATE(參考!B$1,[資料表詳細]資料表詳細表格[[#This Row],[表名]])</f>
        <v>sys_config</v>
      </c>
      <c r="M5" s="2" t="str">
        <f>VLOOKUP([資料表詳細]資料表詳細表格[[#This Row],[屬性類型(Postgre)]],選單!$A$3:$B$20,2,FALSE)</f>
        <v>string</v>
      </c>
      <c r="N5" s="20" t="str">
        <f>CONCATENATE(參考!B$2,[資料表詳細]資料表詳細表格[[#This Row],[欄位名稱(英)]])</f>
        <v>config_value</v>
      </c>
    </row>
    <row r="6" spans="1:14" s="2" customFormat="1">
      <c r="A6" s="74">
        <v>3</v>
      </c>
      <c r="B6" s="22" t="s">
        <v>36</v>
      </c>
      <c r="C6" s="22" t="s">
        <v>37</v>
      </c>
      <c r="D6" s="19">
        <v>3</v>
      </c>
      <c r="E6" s="20" t="s">
        <v>115</v>
      </c>
      <c r="F6" s="20" t="s">
        <v>116</v>
      </c>
      <c r="G6" s="20" t="s">
        <v>14</v>
      </c>
      <c r="H6" s="21"/>
      <c r="I6" s="21" t="s">
        <v>34</v>
      </c>
      <c r="J6" s="21"/>
      <c r="K6" s="20"/>
      <c r="L6" s="20" t="str">
        <f>CONCATENATE(參考!B$1,[資料表詳細]資料表詳細表格[[#This Row],[表名]])</f>
        <v>sys_config</v>
      </c>
      <c r="M6" s="2" t="str">
        <f>VLOOKUP([資料表詳細]資料表詳細表格[[#This Row],[屬性類型(Postgre)]],選單!$A$3:$B$20,2,FALSE)</f>
        <v>string</v>
      </c>
      <c r="N6" s="20" t="str">
        <f>CONCATENATE(參考!B$2,[資料表詳細]資料表詳細表格[[#This Row],[欄位名稱(英)]])</f>
        <v>config_description</v>
      </c>
    </row>
    <row r="7" spans="1:14" s="2" customFormat="1">
      <c r="A7" s="74">
        <v>4</v>
      </c>
      <c r="B7" s="22" t="s">
        <v>36</v>
      </c>
      <c r="C7" s="22" t="s">
        <v>37</v>
      </c>
      <c r="D7" s="19">
        <v>4</v>
      </c>
      <c r="E7" s="20" t="s">
        <v>1114</v>
      </c>
      <c r="F7" s="20" t="s">
        <v>1115</v>
      </c>
      <c r="G7" s="20" t="s">
        <v>41</v>
      </c>
      <c r="H7" s="21">
        <v>20</v>
      </c>
      <c r="I7" s="21" t="s">
        <v>32</v>
      </c>
      <c r="J7" s="21"/>
      <c r="K7" s="20"/>
      <c r="L7" s="20" t="str">
        <f>CONCATENATE(參考!B$1,[資料表詳細]資料表詳細表格[[#This Row],[表名]])</f>
        <v>sys_config</v>
      </c>
      <c r="M7" s="18" t="str">
        <f>VLOOKUP([資料表詳細]資料表詳細表格[[#This Row],[屬性類型(Postgre)]],選單!$A$3:$B$20,2,FALSE)</f>
        <v>string</v>
      </c>
      <c r="N7" s="20" t="str">
        <f>CONCATENATE(參考!B$2,[資料表詳細]資料表詳細表格[[#This Row],[欄位名稱(英)]])</f>
        <v>system_id</v>
      </c>
    </row>
    <row r="8" spans="1:14" s="2" customFormat="1">
      <c r="A8" s="74">
        <v>5</v>
      </c>
      <c r="B8" s="22" t="s">
        <v>36</v>
      </c>
      <c r="C8" s="22" t="s">
        <v>37</v>
      </c>
      <c r="D8" s="19">
        <v>5</v>
      </c>
      <c r="E8" s="20" t="s">
        <v>24</v>
      </c>
      <c r="F8" s="20" t="s">
        <v>20</v>
      </c>
      <c r="G8" s="20" t="s">
        <v>76</v>
      </c>
      <c r="H8" s="21"/>
      <c r="I8" s="21" t="s">
        <v>34</v>
      </c>
      <c r="J8" s="21"/>
      <c r="K8" s="20"/>
      <c r="L8" s="20" t="str">
        <f>CONCATENATE(參考!B$1,[資料表詳細]資料表詳細表格[[#This Row],[表名]])</f>
        <v>sys_config</v>
      </c>
      <c r="M8" s="2" t="str">
        <f>VLOOKUP([資料表詳細]資料表詳細表格[[#This Row],[屬性類型(Postgre)]],選單!$A$3:$B$20,2,FALSE)</f>
        <v>string</v>
      </c>
      <c r="N8" s="20" t="str">
        <f>CONCATENATE(參考!B$2,[資料表詳細]資料表詳細表格[[#This Row],[欄位名稱(英)]])</f>
        <v>remark</v>
      </c>
    </row>
    <row r="9" spans="1:14" s="2" customFormat="1">
      <c r="A9" s="74">
        <v>6</v>
      </c>
      <c r="B9" s="22" t="s">
        <v>36</v>
      </c>
      <c r="C9" s="22" t="s">
        <v>37</v>
      </c>
      <c r="D9" s="19">
        <v>6</v>
      </c>
      <c r="E9" s="20" t="s">
        <v>1</v>
      </c>
      <c r="F9" s="20" t="s">
        <v>2</v>
      </c>
      <c r="G9" s="20" t="s">
        <v>41</v>
      </c>
      <c r="H9" s="21">
        <v>20</v>
      </c>
      <c r="I9" s="21" t="s">
        <v>32</v>
      </c>
      <c r="J9" s="21"/>
      <c r="K9" s="20"/>
      <c r="L9" s="20" t="str">
        <f>CONCATENATE(參考!B$1,[資料表詳細]資料表詳細表格[[#This Row],[表名]])</f>
        <v>sys_config</v>
      </c>
      <c r="M9" s="2" t="str">
        <f>VLOOKUP([資料表詳細]資料表詳細表格[[#This Row],[屬性類型(Postgre)]],選單!$A$3:$B$20,2,FALSE)</f>
        <v>string</v>
      </c>
      <c r="N9" s="20" t="str">
        <f>CONCATENATE(參考!B$2,[資料表詳細]資料表詳細表格[[#This Row],[欄位名稱(英)]])</f>
        <v>ins_user</v>
      </c>
    </row>
    <row r="10" spans="1:14" s="2" customFormat="1">
      <c r="A10" s="74">
        <v>7</v>
      </c>
      <c r="B10" s="22" t="s">
        <v>36</v>
      </c>
      <c r="C10" s="22" t="s">
        <v>37</v>
      </c>
      <c r="D10" s="19">
        <v>7</v>
      </c>
      <c r="E10" s="20" t="s">
        <v>3</v>
      </c>
      <c r="F10" s="20" t="s">
        <v>4</v>
      </c>
      <c r="G10" s="20" t="s">
        <v>77</v>
      </c>
      <c r="H10" s="21"/>
      <c r="I10" s="21" t="s">
        <v>32</v>
      </c>
      <c r="J10" s="21"/>
      <c r="K10" s="20"/>
      <c r="L10" s="20" t="str">
        <f>CONCATENATE(參考!B$1,[資料表詳細]資料表詳細表格[[#This Row],[表名]])</f>
        <v>sys_config</v>
      </c>
      <c r="M10" s="2" t="str">
        <f>VLOOKUP([資料表詳細]資料表詳細表格[[#This Row],[屬性類型(Postgre)]],選單!$A$3:$B$20,2,FALSE)</f>
        <v>DateTime</v>
      </c>
      <c r="N10" s="20" t="str">
        <f>CONCATENATE(參考!B$2,[資料表詳細]資料表詳細表格[[#This Row],[欄位名稱(英)]])</f>
        <v>ins_time</v>
      </c>
    </row>
    <row r="11" spans="1:14" s="2" customFormat="1">
      <c r="A11" s="74">
        <v>8</v>
      </c>
      <c r="B11" s="22" t="s">
        <v>36</v>
      </c>
      <c r="C11" s="22" t="s">
        <v>37</v>
      </c>
      <c r="D11" s="19">
        <v>8</v>
      </c>
      <c r="E11" s="20" t="s">
        <v>6</v>
      </c>
      <c r="F11" s="20" t="s">
        <v>7</v>
      </c>
      <c r="G11" s="20" t="s">
        <v>41</v>
      </c>
      <c r="H11" s="21">
        <v>20</v>
      </c>
      <c r="I11" s="21" t="s">
        <v>32</v>
      </c>
      <c r="J11" s="21"/>
      <c r="K11" s="20"/>
      <c r="L11" s="20" t="str">
        <f>CONCATENATE(參考!B$1,[資料表詳細]資料表詳細表格[[#This Row],[表名]])</f>
        <v>sys_config</v>
      </c>
      <c r="M11" s="2" t="str">
        <f>VLOOKUP([資料表詳細]資料表詳細表格[[#This Row],[屬性類型(Postgre)]],選單!$A$3:$B$20,2,FALSE)</f>
        <v>string</v>
      </c>
      <c r="N11" s="20" t="str">
        <f>CONCATENATE(參考!B$2,[資料表詳細]資料表詳細表格[[#This Row],[欄位名稱(英)]])</f>
        <v>upd_user</v>
      </c>
    </row>
    <row r="12" spans="1:14" s="2" customFormat="1">
      <c r="A12" s="74">
        <v>9</v>
      </c>
      <c r="B12" s="22" t="s">
        <v>36</v>
      </c>
      <c r="C12" s="22" t="s">
        <v>37</v>
      </c>
      <c r="D12" s="19">
        <v>9</v>
      </c>
      <c r="E12" s="20" t="s">
        <v>8</v>
      </c>
      <c r="F12" s="20" t="s">
        <v>9</v>
      </c>
      <c r="G12" s="20" t="s">
        <v>77</v>
      </c>
      <c r="H12" s="21"/>
      <c r="I12" s="21" t="s">
        <v>32</v>
      </c>
      <c r="J12" s="21"/>
      <c r="K12" s="20"/>
      <c r="L12" s="20" t="str">
        <f>CONCATENATE(參考!B$1,[資料表詳細]資料表詳細表格[[#This Row],[表名]])</f>
        <v>sys_config</v>
      </c>
      <c r="M12" s="2" t="str">
        <f>VLOOKUP([資料表詳細]資料表詳細表格[[#This Row],[屬性類型(Postgre)]],選單!$A$3:$B$20,2,FALSE)</f>
        <v>DateTime</v>
      </c>
      <c r="N12" s="20" t="str">
        <f>CONCATENATE(參考!B$2,[資料表詳細]資料表詳細表格[[#This Row],[欄位名稱(英)]])</f>
        <v>upd_time</v>
      </c>
    </row>
    <row r="13" spans="1:14" s="2" customFormat="1">
      <c r="A13" s="74">
        <v>10</v>
      </c>
      <c r="B13" s="22" t="s">
        <v>36</v>
      </c>
      <c r="C13" s="18" t="s">
        <v>135</v>
      </c>
      <c r="D13" s="19">
        <v>1</v>
      </c>
      <c r="E13" s="20" t="s">
        <v>118</v>
      </c>
      <c r="F13" s="20" t="s">
        <v>139</v>
      </c>
      <c r="G13" s="20" t="s">
        <v>0</v>
      </c>
      <c r="H13" s="21">
        <v>10</v>
      </c>
      <c r="I13" s="21" t="s">
        <v>32</v>
      </c>
      <c r="J13" s="21" t="s">
        <v>26</v>
      </c>
      <c r="K13" s="20"/>
      <c r="L13" s="20" t="str">
        <f>CONCATENATE(參考!B$1,[資料表詳細]資料表詳細表格[[#This Row],[表名]])</f>
        <v>sys_station</v>
      </c>
      <c r="M13" s="2" t="str">
        <f>VLOOKUP([資料表詳細]資料表詳細表格[[#This Row],[屬性類型(Postgre)]],選單!$A$3:$B$20,2,FALSE)</f>
        <v>string</v>
      </c>
      <c r="N13" s="20" t="str">
        <f>CONCATENATE(參考!B$2,[資料表詳細]資料表詳細表格[[#This Row],[欄位名稱(英)]])</f>
        <v>station_id</v>
      </c>
    </row>
    <row r="14" spans="1:14" s="2" customFormat="1">
      <c r="A14" s="74">
        <v>11</v>
      </c>
      <c r="B14" s="22" t="s">
        <v>36</v>
      </c>
      <c r="C14" s="22" t="s">
        <v>117</v>
      </c>
      <c r="D14" s="19">
        <v>2</v>
      </c>
      <c r="E14" s="20" t="s">
        <v>119</v>
      </c>
      <c r="F14" s="20" t="s">
        <v>121</v>
      </c>
      <c r="G14" s="20" t="s">
        <v>0</v>
      </c>
      <c r="H14" s="21">
        <v>20</v>
      </c>
      <c r="I14" s="21" t="s">
        <v>32</v>
      </c>
      <c r="J14" s="21"/>
      <c r="K14" s="20"/>
      <c r="L14" s="20" t="str">
        <f>CONCATENATE(參考!B$1,[資料表詳細]資料表詳細表格[[#This Row],[表名]])</f>
        <v>sys_station</v>
      </c>
      <c r="M14" s="2" t="str">
        <f>VLOOKUP([資料表詳細]資料表詳細表格[[#This Row],[屬性類型(Postgre)]],選單!$A$3:$B$20,2,FALSE)</f>
        <v>string</v>
      </c>
      <c r="N14" s="20" t="str">
        <f>CONCATENATE(參考!B$2,[資料表詳細]資料表詳細表格[[#This Row],[欄位名稱(英)]])</f>
        <v>station_name</v>
      </c>
    </row>
    <row r="15" spans="1:14" s="2" customFormat="1">
      <c r="A15" s="74">
        <v>12</v>
      </c>
      <c r="B15" s="22" t="s">
        <v>36</v>
      </c>
      <c r="C15" s="22" t="s">
        <v>117</v>
      </c>
      <c r="D15" s="19">
        <v>3</v>
      </c>
      <c r="E15" s="20" t="s">
        <v>120</v>
      </c>
      <c r="F15" s="20" t="s">
        <v>123</v>
      </c>
      <c r="G15" s="20" t="s">
        <v>124</v>
      </c>
      <c r="H15" s="21"/>
      <c r="I15" s="21" t="s">
        <v>32</v>
      </c>
      <c r="J15" s="21"/>
      <c r="K15" s="20"/>
      <c r="L15" s="20" t="str">
        <f>CONCATENATE(參考!B$1,[資料表詳細]資料表詳細表格[[#This Row],[表名]])</f>
        <v>sys_station</v>
      </c>
      <c r="M15" s="2" t="str">
        <f>VLOOKUP([資料表詳細]資料表詳細表格[[#This Row],[屬性類型(Postgre)]],選單!$A$3:$B$20,2,FALSE)</f>
        <v>string</v>
      </c>
      <c r="N15" s="20" t="str">
        <f>CONCATENATE(參考!B$2,[資料表詳細]資料表詳細表格[[#This Row],[欄位名稱(英)]])</f>
        <v>station_name_eng</v>
      </c>
    </row>
    <row r="16" spans="1:14" s="2" customFormat="1">
      <c r="A16" s="74">
        <v>13</v>
      </c>
      <c r="B16" s="22" t="s">
        <v>36</v>
      </c>
      <c r="C16" s="22" t="s">
        <v>117</v>
      </c>
      <c r="D16" s="19">
        <v>4</v>
      </c>
      <c r="E16" s="20" t="s">
        <v>232</v>
      </c>
      <c r="F16" s="20" t="s">
        <v>20</v>
      </c>
      <c r="G16" s="20" t="s">
        <v>76</v>
      </c>
      <c r="H16" s="21"/>
      <c r="I16" s="21" t="s">
        <v>34</v>
      </c>
      <c r="J16" s="21"/>
      <c r="K16" s="20"/>
      <c r="L16" s="20" t="str">
        <f>CONCATENATE(參考!B$1,[資料表詳細]資料表詳細表格[[#This Row],[表名]])</f>
        <v>sys_station</v>
      </c>
      <c r="M16" s="18" t="str">
        <f>VLOOKUP([資料表詳細]資料表詳細表格[[#This Row],[屬性類型(Postgre)]],選單!$A$3:$B$20,2,FALSE)</f>
        <v>string</v>
      </c>
      <c r="N16" s="20" t="str">
        <f>CONCATENATE(參考!B$2,[資料表詳細]資料表詳細表格[[#This Row],[欄位名稱(英)]])</f>
        <v>remark</v>
      </c>
    </row>
    <row r="17" spans="1:14" s="2" customFormat="1">
      <c r="A17" s="74">
        <v>14</v>
      </c>
      <c r="B17" s="22" t="s">
        <v>36</v>
      </c>
      <c r="C17" s="22" t="s">
        <v>117</v>
      </c>
      <c r="D17" s="19">
        <v>5</v>
      </c>
      <c r="E17" s="20" t="s">
        <v>1</v>
      </c>
      <c r="F17" s="20" t="s">
        <v>122</v>
      </c>
      <c r="G17" s="20" t="s">
        <v>41</v>
      </c>
      <c r="H17" s="21">
        <v>20</v>
      </c>
      <c r="I17" s="21" t="s">
        <v>32</v>
      </c>
      <c r="J17" s="21"/>
      <c r="K17" s="20"/>
      <c r="L17" s="20" t="str">
        <f>CONCATENATE(參考!B$1,[資料表詳細]資料表詳細表格[[#This Row],[表名]])</f>
        <v>sys_station</v>
      </c>
      <c r="M17" s="2" t="str">
        <f>VLOOKUP([資料表詳細]資料表詳細表格[[#This Row],[屬性類型(Postgre)]],選單!$A$3:$B$20,2,FALSE)</f>
        <v>string</v>
      </c>
      <c r="N17" s="20" t="str">
        <f>CONCATENATE(參考!B$2,[資料表詳細]資料表詳細表格[[#This Row],[欄位名稱(英)]])</f>
        <v>ins_user</v>
      </c>
    </row>
    <row r="18" spans="1:14" s="2" customFormat="1">
      <c r="A18" s="74">
        <v>15</v>
      </c>
      <c r="B18" s="22" t="s">
        <v>36</v>
      </c>
      <c r="C18" s="22" t="s">
        <v>117</v>
      </c>
      <c r="D18" s="19">
        <v>6</v>
      </c>
      <c r="E18" s="20" t="s">
        <v>3</v>
      </c>
      <c r="F18" s="20" t="s">
        <v>4</v>
      </c>
      <c r="G18" s="20" t="s">
        <v>77</v>
      </c>
      <c r="H18" s="21"/>
      <c r="I18" s="21" t="s">
        <v>32</v>
      </c>
      <c r="J18" s="21"/>
      <c r="K18" s="20"/>
      <c r="L18" s="20" t="str">
        <f>CONCATENATE(參考!B$1,[資料表詳細]資料表詳細表格[[#This Row],[表名]])</f>
        <v>sys_station</v>
      </c>
      <c r="M18" s="2" t="str">
        <f>VLOOKUP([資料表詳細]資料表詳細表格[[#This Row],[屬性類型(Postgre)]],選單!$A$3:$B$20,2,FALSE)</f>
        <v>DateTime</v>
      </c>
      <c r="N18" s="20" t="str">
        <f>CONCATENATE(參考!B$2,[資料表詳細]資料表詳細表格[[#This Row],[欄位名稱(英)]])</f>
        <v>ins_time</v>
      </c>
    </row>
    <row r="19" spans="1:14" s="2" customFormat="1">
      <c r="A19" s="74">
        <v>16</v>
      </c>
      <c r="B19" s="22" t="s">
        <v>36</v>
      </c>
      <c r="C19" s="22" t="s">
        <v>117</v>
      </c>
      <c r="D19" s="19">
        <v>7</v>
      </c>
      <c r="E19" s="20" t="s">
        <v>6</v>
      </c>
      <c r="F19" s="20" t="s">
        <v>7</v>
      </c>
      <c r="G19" s="20" t="s">
        <v>41</v>
      </c>
      <c r="H19" s="21">
        <v>20</v>
      </c>
      <c r="I19" s="21" t="s">
        <v>32</v>
      </c>
      <c r="J19" s="21"/>
      <c r="K19" s="20"/>
      <c r="L19" s="20" t="str">
        <f>CONCATENATE(參考!B$1,[資料表詳細]資料表詳細表格[[#This Row],[表名]])</f>
        <v>sys_station</v>
      </c>
      <c r="M19" s="2" t="str">
        <f>VLOOKUP([資料表詳細]資料表詳細表格[[#This Row],[屬性類型(Postgre)]],選單!$A$3:$B$20,2,FALSE)</f>
        <v>string</v>
      </c>
      <c r="N19" s="20" t="str">
        <f>CONCATENATE(參考!B$2,[資料表詳細]資料表詳細表格[[#This Row],[欄位名稱(英)]])</f>
        <v>upd_user</v>
      </c>
    </row>
    <row r="20" spans="1:14" s="2" customFormat="1">
      <c r="A20" s="74">
        <v>17</v>
      </c>
      <c r="B20" s="22" t="s">
        <v>36</v>
      </c>
      <c r="C20" s="22" t="s">
        <v>117</v>
      </c>
      <c r="D20" s="19">
        <v>8</v>
      </c>
      <c r="E20" s="20" t="s">
        <v>8</v>
      </c>
      <c r="F20" s="20" t="s">
        <v>9</v>
      </c>
      <c r="G20" s="20" t="s">
        <v>77</v>
      </c>
      <c r="H20" s="21"/>
      <c r="I20" s="21" t="s">
        <v>32</v>
      </c>
      <c r="J20" s="21"/>
      <c r="K20" s="20"/>
      <c r="L20" s="20" t="str">
        <f>CONCATENATE(參考!B$1,[資料表詳細]資料表詳細表格[[#This Row],[表名]])</f>
        <v>sys_station</v>
      </c>
      <c r="M20" s="2" t="str">
        <f>VLOOKUP([資料表詳細]資料表詳細表格[[#This Row],[屬性類型(Postgre)]],選單!$A$3:$B$20,2,FALSE)</f>
        <v>DateTime</v>
      </c>
      <c r="N20" s="20" t="str">
        <f>CONCATENATE(參考!B$2,[資料表詳細]資料表詳細表格[[#This Row],[欄位名稱(英)]])</f>
        <v>upd_time</v>
      </c>
    </row>
    <row r="21" spans="1:14" s="2" customFormat="1">
      <c r="A21" s="74">
        <v>18</v>
      </c>
      <c r="B21" s="22" t="s">
        <v>36</v>
      </c>
      <c r="C21" s="18" t="s">
        <v>213</v>
      </c>
      <c r="D21" s="19">
        <v>1</v>
      </c>
      <c r="E21" s="20" t="s">
        <v>118</v>
      </c>
      <c r="F21" s="20" t="s">
        <v>216</v>
      </c>
      <c r="G21" s="20" t="s">
        <v>41</v>
      </c>
      <c r="H21" s="21">
        <v>10</v>
      </c>
      <c r="I21" s="21" t="s">
        <v>32</v>
      </c>
      <c r="J21" s="21" t="s">
        <v>26</v>
      </c>
      <c r="K21" s="20"/>
      <c r="L21" s="20" t="str">
        <f>CONCATENATE(參考!B$1,[資料表詳細]資料表詳細表格[[#This Row],[表名]])</f>
        <v>sys_station_area</v>
      </c>
      <c r="M21" s="18" t="str">
        <f>VLOOKUP([資料表詳細]資料表詳細表格[[#This Row],[屬性類型(Postgre)]],選單!$A$3:$B$20,2,FALSE)</f>
        <v>string</v>
      </c>
      <c r="N21" s="20" t="str">
        <f>CONCATENATE(參考!B$2,[資料表詳細]資料表詳細表格[[#This Row],[欄位名稱(英)]])</f>
        <v>station_id</v>
      </c>
    </row>
    <row r="22" spans="1:14" s="2" customFormat="1">
      <c r="A22" s="74">
        <v>19</v>
      </c>
      <c r="B22" s="22" t="s">
        <v>36</v>
      </c>
      <c r="C22" s="22" t="s">
        <v>213</v>
      </c>
      <c r="D22" s="19">
        <v>2</v>
      </c>
      <c r="E22" s="20" t="s">
        <v>217</v>
      </c>
      <c r="F22" s="20" t="s">
        <v>228</v>
      </c>
      <c r="G22" s="20" t="s">
        <v>41</v>
      </c>
      <c r="H22" s="21">
        <v>10</v>
      </c>
      <c r="I22" s="21" t="s">
        <v>32</v>
      </c>
      <c r="J22" s="21" t="s">
        <v>26</v>
      </c>
      <c r="K22" s="20"/>
      <c r="L22" s="20" t="str">
        <f>CONCATENATE(參考!B$1,[資料表詳細]資料表詳細表格[[#This Row],[表名]])</f>
        <v>sys_station_area</v>
      </c>
      <c r="M22" s="18" t="str">
        <f>VLOOKUP([資料表詳細]資料表詳細表格[[#This Row],[屬性類型(Postgre)]],選單!$A$3:$B$20,2,FALSE)</f>
        <v>string</v>
      </c>
      <c r="N22" s="20" t="str">
        <f>CONCATENATE(參考!B$2,[資料表詳細]資料表詳細表格[[#This Row],[欄位名稱(英)]])</f>
        <v>area_id</v>
      </c>
    </row>
    <row r="23" spans="1:14" s="2" customFormat="1">
      <c r="A23" s="74">
        <v>20</v>
      </c>
      <c r="B23" s="22" t="s">
        <v>36</v>
      </c>
      <c r="C23" s="22" t="s">
        <v>213</v>
      </c>
      <c r="D23" s="19">
        <v>3</v>
      </c>
      <c r="E23" s="20" t="s">
        <v>218</v>
      </c>
      <c r="F23" s="20" t="s">
        <v>219</v>
      </c>
      <c r="G23" s="20" t="s">
        <v>0</v>
      </c>
      <c r="H23" s="21">
        <v>40</v>
      </c>
      <c r="I23" s="21" t="s">
        <v>32</v>
      </c>
      <c r="J23" s="21"/>
      <c r="K23" s="20"/>
      <c r="L23" s="20" t="str">
        <f>CONCATENATE(參考!B$1,[資料表詳細]資料表詳細表格[[#This Row],[表名]])</f>
        <v>sys_station_area</v>
      </c>
      <c r="M23" s="18" t="str">
        <f>VLOOKUP([資料表詳細]資料表詳細表格[[#This Row],[屬性類型(Postgre)]],選單!$A$3:$B$20,2,FALSE)</f>
        <v>string</v>
      </c>
      <c r="N23" s="20" t="str">
        <f>CONCATENATE(參考!B$2,[資料表詳細]資料表詳細表格[[#This Row],[欄位名稱(英)]])</f>
        <v>area_name</v>
      </c>
    </row>
    <row r="24" spans="1:14" s="2" customFormat="1">
      <c r="A24" s="74">
        <v>21</v>
      </c>
      <c r="B24" s="22" t="s">
        <v>36</v>
      </c>
      <c r="C24" s="22" t="s">
        <v>213</v>
      </c>
      <c r="D24" s="19">
        <v>4</v>
      </c>
      <c r="E24" s="20" t="s">
        <v>1</v>
      </c>
      <c r="F24" s="20" t="s">
        <v>122</v>
      </c>
      <c r="G24" s="20" t="s">
        <v>41</v>
      </c>
      <c r="H24" s="21">
        <v>20</v>
      </c>
      <c r="I24" s="21" t="s">
        <v>32</v>
      </c>
      <c r="J24" s="21"/>
      <c r="K24" s="20"/>
      <c r="L24" s="20" t="str">
        <f>CONCATENATE(參考!B$1,[資料表詳細]資料表詳細表格[[#This Row],[表名]])</f>
        <v>sys_station_area</v>
      </c>
      <c r="M24" s="18" t="str">
        <f>VLOOKUP([資料表詳細]資料表詳細表格[[#This Row],[屬性類型(Postgre)]],選單!$A$3:$B$20,2,FALSE)</f>
        <v>string</v>
      </c>
      <c r="N24" s="20" t="str">
        <f>CONCATENATE(參考!B$2,[資料表詳細]資料表詳細表格[[#This Row],[欄位名稱(英)]])</f>
        <v>ins_user</v>
      </c>
    </row>
    <row r="25" spans="1:14" s="2" customFormat="1">
      <c r="A25" s="74">
        <v>22</v>
      </c>
      <c r="B25" s="22" t="s">
        <v>36</v>
      </c>
      <c r="C25" s="22" t="s">
        <v>213</v>
      </c>
      <c r="D25" s="19">
        <v>5</v>
      </c>
      <c r="E25" s="20" t="s">
        <v>3</v>
      </c>
      <c r="F25" s="20" t="s">
        <v>4</v>
      </c>
      <c r="G25" s="20" t="s">
        <v>77</v>
      </c>
      <c r="H25" s="21"/>
      <c r="I25" s="21" t="s">
        <v>32</v>
      </c>
      <c r="J25" s="21"/>
      <c r="K25" s="20"/>
      <c r="L25" s="20" t="str">
        <f>CONCATENATE(參考!B$1,[資料表詳細]資料表詳細表格[[#This Row],[表名]])</f>
        <v>sys_station_area</v>
      </c>
      <c r="M25" s="18" t="str">
        <f>VLOOKUP([資料表詳細]資料表詳細表格[[#This Row],[屬性類型(Postgre)]],選單!$A$3:$B$20,2,FALSE)</f>
        <v>DateTime</v>
      </c>
      <c r="N25" s="20" t="str">
        <f>CONCATENATE(參考!B$2,[資料表詳細]資料表詳細表格[[#This Row],[欄位名稱(英)]])</f>
        <v>ins_time</v>
      </c>
    </row>
    <row r="26" spans="1:14" s="2" customFormat="1">
      <c r="A26" s="74">
        <v>23</v>
      </c>
      <c r="B26" s="22" t="s">
        <v>36</v>
      </c>
      <c r="C26" s="22" t="s">
        <v>213</v>
      </c>
      <c r="D26" s="19">
        <v>6</v>
      </c>
      <c r="E26" s="20" t="s">
        <v>6</v>
      </c>
      <c r="F26" s="20" t="s">
        <v>7</v>
      </c>
      <c r="G26" s="20" t="s">
        <v>41</v>
      </c>
      <c r="H26" s="21">
        <v>20</v>
      </c>
      <c r="I26" s="21" t="s">
        <v>32</v>
      </c>
      <c r="J26" s="21"/>
      <c r="K26" s="20"/>
      <c r="L26" s="20" t="str">
        <f>CONCATENATE(參考!B$1,[資料表詳細]資料表詳細表格[[#This Row],[表名]])</f>
        <v>sys_station_area</v>
      </c>
      <c r="M26" s="18" t="str">
        <f>VLOOKUP([資料表詳細]資料表詳細表格[[#This Row],[屬性類型(Postgre)]],選單!$A$3:$B$20,2,FALSE)</f>
        <v>string</v>
      </c>
      <c r="N26" s="20" t="str">
        <f>CONCATENATE(參考!B$2,[資料表詳細]資料表詳細表格[[#This Row],[欄位名稱(英)]])</f>
        <v>upd_user</v>
      </c>
    </row>
    <row r="27" spans="1:14" s="2" customFormat="1">
      <c r="A27" s="74">
        <v>24</v>
      </c>
      <c r="B27" s="22" t="s">
        <v>36</v>
      </c>
      <c r="C27" s="22" t="s">
        <v>213</v>
      </c>
      <c r="D27" s="19">
        <v>7</v>
      </c>
      <c r="E27" s="20" t="s">
        <v>8</v>
      </c>
      <c r="F27" s="20" t="s">
        <v>9</v>
      </c>
      <c r="G27" s="20" t="s">
        <v>77</v>
      </c>
      <c r="H27" s="21"/>
      <c r="I27" s="21" t="s">
        <v>32</v>
      </c>
      <c r="J27" s="21"/>
      <c r="K27" s="20"/>
      <c r="L27" s="20" t="str">
        <f>CONCATENATE(參考!B$1,[資料表詳細]資料表詳細表格[[#This Row],[表名]])</f>
        <v>sys_station_area</v>
      </c>
      <c r="M27" s="18" t="str">
        <f>VLOOKUP([資料表詳細]資料表詳細表格[[#This Row],[屬性類型(Postgre)]],選單!$A$3:$B$20,2,FALSE)</f>
        <v>DateTime</v>
      </c>
      <c r="N27" s="20" t="str">
        <f>CONCATENATE(參考!B$2,[資料表詳細]資料表詳細表格[[#This Row],[欄位名稱(英)]])</f>
        <v>upd_time</v>
      </c>
    </row>
    <row r="28" spans="1:14" s="2" customFormat="1">
      <c r="A28" s="74">
        <v>25</v>
      </c>
      <c r="B28" s="22" t="s">
        <v>36</v>
      </c>
      <c r="C28" s="18" t="s">
        <v>92</v>
      </c>
      <c r="D28" s="19">
        <v>1</v>
      </c>
      <c r="E28" s="20" t="s">
        <v>99</v>
      </c>
      <c r="F28" s="20" t="s">
        <v>89</v>
      </c>
      <c r="G28" s="20" t="s">
        <v>71</v>
      </c>
      <c r="H28" s="21"/>
      <c r="I28" s="21" t="s">
        <v>32</v>
      </c>
      <c r="J28" s="21" t="s">
        <v>26</v>
      </c>
      <c r="K28" s="20"/>
      <c r="L28" s="20" t="str">
        <f>CONCATENATE(參考!B$1,[資料表詳細]資料表詳細表格[[#This Row],[表名]])</f>
        <v>sys_oper_log</v>
      </c>
      <c r="M28" s="2" t="str">
        <f>VLOOKUP([資料表詳細]資料表詳細表格[[#This Row],[屬性類型(Postgre)]],選單!$A$3:$B$20,2,FALSE)</f>
        <v>Guid</v>
      </c>
      <c r="N28" s="20" t="str">
        <f>CONCATENATE(參考!B$2,[資料表詳細]資料表詳細表格[[#This Row],[欄位名稱(英)]])</f>
        <v>log_id</v>
      </c>
    </row>
    <row r="29" spans="1:14" s="2" customFormat="1">
      <c r="A29" s="74">
        <v>26</v>
      </c>
      <c r="B29" s="22" t="s">
        <v>36</v>
      </c>
      <c r="C29" s="22" t="s">
        <v>92</v>
      </c>
      <c r="D29" s="19">
        <v>2</v>
      </c>
      <c r="E29" s="20" t="s">
        <v>108</v>
      </c>
      <c r="F29" s="20" t="s">
        <v>85</v>
      </c>
      <c r="G29" s="20" t="s">
        <v>41</v>
      </c>
      <c r="H29" s="21">
        <v>20</v>
      </c>
      <c r="I29" s="21" t="s">
        <v>32</v>
      </c>
      <c r="J29" s="21"/>
      <c r="K29" s="20"/>
      <c r="L29" s="20" t="str">
        <f>CONCATENATE(參考!B$1,[資料表詳細]資料表詳細表格[[#This Row],[表名]])</f>
        <v>sys_oper_log</v>
      </c>
      <c r="M29" s="2" t="str">
        <f>VLOOKUP([資料表詳細]資料表詳細表格[[#This Row],[屬性類型(Postgre)]],選單!$A$3:$B$20,2,FALSE)</f>
        <v>string</v>
      </c>
      <c r="N29" s="20" t="str">
        <f>CONCATENATE(參考!B$2,[資料表詳細]資料表詳細表格[[#This Row],[欄位名稱(英)]])</f>
        <v>account_id</v>
      </c>
    </row>
    <row r="30" spans="1:14" s="2" customFormat="1">
      <c r="A30" s="74">
        <v>27</v>
      </c>
      <c r="B30" s="22" t="s">
        <v>36</v>
      </c>
      <c r="C30" s="22" t="s">
        <v>92</v>
      </c>
      <c r="D30" s="19">
        <v>3</v>
      </c>
      <c r="E30" s="20" t="s">
        <v>109</v>
      </c>
      <c r="F30" s="20" t="s">
        <v>83</v>
      </c>
      <c r="G30" s="20" t="s">
        <v>76</v>
      </c>
      <c r="H30" s="21"/>
      <c r="I30" s="21" t="s">
        <v>32</v>
      </c>
      <c r="J30" s="21"/>
      <c r="K30" s="20" t="s">
        <v>215</v>
      </c>
      <c r="L30" s="20" t="str">
        <f>CONCATENATE(參考!B$1,[資料表詳細]資料表詳細表格[[#This Row],[表名]])</f>
        <v>sys_oper_log</v>
      </c>
      <c r="M30" s="18" t="str">
        <f>VLOOKUP([資料表詳細]資料表詳細表格[[#This Row],[屬性類型(Postgre)]],選單!$A$3:$B$20,2,FALSE)</f>
        <v>string</v>
      </c>
      <c r="N30" s="20" t="str">
        <f>CONCATENATE(參考!B$2,[資料表詳細]資料表詳細表格[[#This Row],[欄位名稱(英)]])</f>
        <v>account_name</v>
      </c>
    </row>
    <row r="31" spans="1:14" s="2" customFormat="1">
      <c r="A31" s="74">
        <v>28</v>
      </c>
      <c r="B31" s="22" t="s">
        <v>36</v>
      </c>
      <c r="C31" s="22" t="s">
        <v>92</v>
      </c>
      <c r="D31" s="19">
        <v>4</v>
      </c>
      <c r="E31" s="20" t="s">
        <v>97</v>
      </c>
      <c r="F31" s="20" t="s">
        <v>96</v>
      </c>
      <c r="G31" s="20" t="s">
        <v>0</v>
      </c>
      <c r="H31" s="21">
        <v>40</v>
      </c>
      <c r="I31" s="21" t="s">
        <v>32</v>
      </c>
      <c r="J31" s="21"/>
      <c r="K31" s="20"/>
      <c r="L31" s="20" t="str">
        <f>CONCATENATE(參考!B$1,[資料表詳細]資料表詳細表格[[#This Row],[表名]])</f>
        <v>sys_oper_log</v>
      </c>
      <c r="M31" s="2" t="str">
        <f>VLOOKUP([資料表詳細]資料表詳細表格[[#This Row],[屬性類型(Postgre)]],選單!$A$3:$B$20,2,FALSE)</f>
        <v>string</v>
      </c>
      <c r="N31" s="20" t="str">
        <f>CONCATENATE(參考!B$2,[資料表詳細]資料表詳細表格[[#This Row],[欄位名稱(英)]])</f>
        <v>oper_id</v>
      </c>
    </row>
    <row r="32" spans="1:14" s="2" customFormat="1">
      <c r="A32" s="74">
        <v>29</v>
      </c>
      <c r="B32" s="22" t="s">
        <v>36</v>
      </c>
      <c r="C32" s="22" t="s">
        <v>92</v>
      </c>
      <c r="D32" s="19">
        <v>5</v>
      </c>
      <c r="E32" s="20" t="s">
        <v>95</v>
      </c>
      <c r="F32" s="20" t="s">
        <v>90</v>
      </c>
      <c r="G32" s="20" t="s">
        <v>14</v>
      </c>
      <c r="H32" s="21"/>
      <c r="I32" s="21" t="s">
        <v>32</v>
      </c>
      <c r="J32" s="21"/>
      <c r="K32" s="20"/>
      <c r="L32" s="20" t="str">
        <f>CONCATENATE(參考!B$1,[資料表詳細]資料表詳細表格[[#This Row],[表名]])</f>
        <v>sys_oper_log</v>
      </c>
      <c r="M32" s="2" t="str">
        <f>VLOOKUP([資料表詳細]資料表詳細表格[[#This Row],[屬性類型(Postgre)]],選單!$A$3:$B$20,2,FALSE)</f>
        <v>string</v>
      </c>
      <c r="N32" s="20" t="str">
        <f>CONCATENATE(參考!B$2,[資料表詳細]資料表詳細表格[[#This Row],[欄位名稱(英)]])</f>
        <v>log_content</v>
      </c>
    </row>
    <row r="33" spans="1:14" s="2" customFormat="1">
      <c r="A33" s="74">
        <v>30</v>
      </c>
      <c r="B33" s="22" t="s">
        <v>36</v>
      </c>
      <c r="C33" s="22" t="s">
        <v>92</v>
      </c>
      <c r="D33" s="19">
        <v>6</v>
      </c>
      <c r="E33" s="20" t="s">
        <v>1</v>
      </c>
      <c r="F33" s="20" t="s">
        <v>2</v>
      </c>
      <c r="G33" s="20" t="s">
        <v>41</v>
      </c>
      <c r="H33" s="21">
        <v>20</v>
      </c>
      <c r="I33" s="21" t="s">
        <v>32</v>
      </c>
      <c r="J33" s="21"/>
      <c r="K33" s="20"/>
      <c r="L33" s="20" t="str">
        <f>CONCATENATE(參考!B$1,[資料表詳細]資料表詳細表格[[#This Row],[表名]])</f>
        <v>sys_oper_log</v>
      </c>
      <c r="M33" s="2" t="str">
        <f>VLOOKUP([資料表詳細]資料表詳細表格[[#This Row],[屬性類型(Postgre)]],選單!$A$3:$B$20,2,FALSE)</f>
        <v>string</v>
      </c>
      <c r="N33" s="20" t="str">
        <f>CONCATENATE(參考!B$2,[資料表詳細]資料表詳細表格[[#This Row],[欄位名稱(英)]])</f>
        <v>ins_user</v>
      </c>
    </row>
    <row r="34" spans="1:14" s="2" customFormat="1">
      <c r="A34" s="74">
        <v>31</v>
      </c>
      <c r="B34" s="22" t="s">
        <v>36</v>
      </c>
      <c r="C34" s="22" t="s">
        <v>92</v>
      </c>
      <c r="D34" s="19">
        <v>7</v>
      </c>
      <c r="E34" s="20" t="s">
        <v>3</v>
      </c>
      <c r="F34" s="20" t="s">
        <v>4</v>
      </c>
      <c r="G34" s="20" t="s">
        <v>5</v>
      </c>
      <c r="H34" s="21"/>
      <c r="I34" s="21" t="s">
        <v>32</v>
      </c>
      <c r="J34" s="21"/>
      <c r="K34" s="20"/>
      <c r="L34" s="20" t="str">
        <f>CONCATENATE(參考!B$1,[資料表詳細]資料表詳細表格[[#This Row],[表名]])</f>
        <v>sys_oper_log</v>
      </c>
      <c r="M34" s="2" t="str">
        <f>VLOOKUP([資料表詳細]資料表詳細表格[[#This Row],[屬性類型(Postgre)]],選單!$A$3:$B$20,2,FALSE)</f>
        <v>DateTime</v>
      </c>
      <c r="N34" s="20" t="str">
        <f>CONCATENATE(參考!B$2,[資料表詳細]資料表詳細表格[[#This Row],[欄位名稱(英)]])</f>
        <v>ins_time</v>
      </c>
    </row>
    <row r="35" spans="1:14" s="2" customFormat="1">
      <c r="A35" s="74">
        <v>32</v>
      </c>
      <c r="B35" s="22" t="s">
        <v>36</v>
      </c>
      <c r="C35" s="22" t="s">
        <v>92</v>
      </c>
      <c r="D35" s="19">
        <v>8</v>
      </c>
      <c r="E35" s="20" t="s">
        <v>6</v>
      </c>
      <c r="F35" s="20" t="s">
        <v>7</v>
      </c>
      <c r="G35" s="20" t="s">
        <v>41</v>
      </c>
      <c r="H35" s="21">
        <v>20</v>
      </c>
      <c r="I35" s="21" t="s">
        <v>32</v>
      </c>
      <c r="J35" s="21"/>
      <c r="K35" s="20"/>
      <c r="L35" s="20" t="str">
        <f>CONCATENATE(參考!B$1,[資料表詳細]資料表詳細表格[[#This Row],[表名]])</f>
        <v>sys_oper_log</v>
      </c>
      <c r="M35" s="2" t="str">
        <f>VLOOKUP([資料表詳細]資料表詳細表格[[#This Row],[屬性類型(Postgre)]],選單!$A$3:$B$20,2,FALSE)</f>
        <v>string</v>
      </c>
      <c r="N35" s="20" t="str">
        <f>CONCATENATE(參考!B$2,[資料表詳細]資料表詳細表格[[#This Row],[欄位名稱(英)]])</f>
        <v>upd_user</v>
      </c>
    </row>
    <row r="36" spans="1:14" s="2" customFormat="1">
      <c r="A36" s="74">
        <v>33</v>
      </c>
      <c r="B36" s="22" t="s">
        <v>36</v>
      </c>
      <c r="C36" s="22" t="s">
        <v>92</v>
      </c>
      <c r="D36" s="19">
        <v>9</v>
      </c>
      <c r="E36" s="20" t="s">
        <v>8</v>
      </c>
      <c r="F36" s="20" t="s">
        <v>9</v>
      </c>
      <c r="G36" s="20" t="s">
        <v>5</v>
      </c>
      <c r="H36" s="21"/>
      <c r="I36" s="21" t="s">
        <v>32</v>
      </c>
      <c r="J36" s="21"/>
      <c r="K36" s="20"/>
      <c r="L36" s="20" t="str">
        <f>CONCATENATE(參考!B$1,[資料表詳細]資料表詳細表格[[#This Row],[表名]])</f>
        <v>sys_oper_log</v>
      </c>
      <c r="M36" s="2" t="str">
        <f>VLOOKUP([資料表詳細]資料表詳細表格[[#This Row],[屬性類型(Postgre)]],選單!$A$3:$B$20,2,FALSE)</f>
        <v>DateTime</v>
      </c>
      <c r="N36" s="20" t="str">
        <f>CONCATENATE(參考!B$2,[資料表詳細]資料表詳細表格[[#This Row],[欄位名稱(英)]])</f>
        <v>upd_time</v>
      </c>
    </row>
    <row r="37" spans="1:14" s="2" customFormat="1">
      <c r="A37" s="74">
        <v>34</v>
      </c>
      <c r="B37" s="22" t="s">
        <v>36</v>
      </c>
      <c r="C37" s="18" t="s">
        <v>94</v>
      </c>
      <c r="D37" s="19">
        <v>1</v>
      </c>
      <c r="E37" s="20" t="s">
        <v>88</v>
      </c>
      <c r="F37" s="20" t="s">
        <v>89</v>
      </c>
      <c r="G37" s="20" t="s">
        <v>71</v>
      </c>
      <c r="H37" s="21"/>
      <c r="I37" s="21" t="s">
        <v>32</v>
      </c>
      <c r="J37" s="21" t="s">
        <v>26</v>
      </c>
      <c r="K37" s="20"/>
      <c r="L37" s="20" t="str">
        <f>CONCATENATE(參考!B$1,[資料表詳細]資料表詳細表格[[#This Row],[表名]])</f>
        <v>sys_oper_log_history</v>
      </c>
      <c r="M37" s="2" t="str">
        <f>VLOOKUP([資料表詳細]資料表詳細表格[[#This Row],[屬性類型(Postgre)]],選單!$A$3:$B$20,2,FALSE)</f>
        <v>Guid</v>
      </c>
      <c r="N37" s="20" t="str">
        <f>CONCATENATE(參考!B$2,[資料表詳細]資料表詳細表格[[#This Row],[欄位名稱(英)]])</f>
        <v>log_id</v>
      </c>
    </row>
    <row r="38" spans="1:14" s="2" customFormat="1">
      <c r="A38" s="74">
        <v>35</v>
      </c>
      <c r="B38" s="22" t="s">
        <v>36</v>
      </c>
      <c r="C38" s="22" t="s">
        <v>94</v>
      </c>
      <c r="D38" s="19">
        <v>2</v>
      </c>
      <c r="E38" s="20" t="s">
        <v>108</v>
      </c>
      <c r="F38" s="20" t="s">
        <v>91</v>
      </c>
      <c r="G38" s="20" t="s">
        <v>41</v>
      </c>
      <c r="H38" s="21">
        <v>20</v>
      </c>
      <c r="I38" s="21" t="s">
        <v>32</v>
      </c>
      <c r="J38" s="21"/>
      <c r="K38" s="20"/>
      <c r="L38" s="20" t="str">
        <f>CONCATENATE(參考!B$1,[資料表詳細]資料表詳細表格[[#This Row],[表名]])</f>
        <v>sys_oper_log_history</v>
      </c>
      <c r="M38" s="2" t="str">
        <f>VLOOKUP([資料表詳細]資料表詳細表格[[#This Row],[屬性類型(Postgre)]],選單!$A$3:$B$20,2,FALSE)</f>
        <v>string</v>
      </c>
      <c r="N38" s="20" t="str">
        <f>CONCATENATE(參考!B$2,[資料表詳細]資料表詳細表格[[#This Row],[欄位名稱(英)]])</f>
        <v>account_id</v>
      </c>
    </row>
    <row r="39" spans="1:14" s="2" customFormat="1">
      <c r="A39" s="74">
        <v>36</v>
      </c>
      <c r="B39" s="22" t="s">
        <v>36</v>
      </c>
      <c r="C39" s="22" t="s">
        <v>93</v>
      </c>
      <c r="D39" s="19">
        <v>3</v>
      </c>
      <c r="E39" s="20" t="s">
        <v>109</v>
      </c>
      <c r="F39" s="20" t="s">
        <v>83</v>
      </c>
      <c r="G39" s="20" t="s">
        <v>76</v>
      </c>
      <c r="H39" s="21"/>
      <c r="I39" s="21" t="s">
        <v>32</v>
      </c>
      <c r="J39" s="21"/>
      <c r="K39" s="20" t="s">
        <v>215</v>
      </c>
      <c r="L39" s="20" t="str">
        <f>CONCATENATE(參考!B$1,[資料表詳細]資料表詳細表格[[#This Row],[表名]])</f>
        <v>sys_oper_log_history</v>
      </c>
      <c r="M39" s="2" t="str">
        <f>VLOOKUP([資料表詳細]資料表詳細表格[[#This Row],[屬性類型(Postgre)]],選單!$A$3:$B$20,2,FALSE)</f>
        <v>string</v>
      </c>
      <c r="N39" s="20" t="str">
        <f>CONCATENATE(參考!B$2,[資料表詳細]資料表詳細表格[[#This Row],[欄位名稱(英)]])</f>
        <v>account_name</v>
      </c>
    </row>
    <row r="40" spans="1:14" s="2" customFormat="1">
      <c r="A40" s="74">
        <v>37</v>
      </c>
      <c r="B40" s="22" t="s">
        <v>36</v>
      </c>
      <c r="C40" s="22" t="s">
        <v>94</v>
      </c>
      <c r="D40" s="19">
        <v>4</v>
      </c>
      <c r="E40" s="20" t="s">
        <v>97</v>
      </c>
      <c r="F40" s="20" t="s">
        <v>96</v>
      </c>
      <c r="G40" s="20" t="s">
        <v>0</v>
      </c>
      <c r="H40" s="21">
        <v>40</v>
      </c>
      <c r="I40" s="21" t="s">
        <v>32</v>
      </c>
      <c r="J40" s="21"/>
      <c r="K40" s="20"/>
      <c r="L40" s="20" t="str">
        <f>CONCATENATE(參考!B$1,[資料表詳細]資料表詳細表格[[#This Row],[表名]])</f>
        <v>sys_oper_log_history</v>
      </c>
      <c r="M40" s="2" t="str">
        <f>VLOOKUP([資料表詳細]資料表詳細表格[[#This Row],[屬性類型(Postgre)]],選單!$A$3:$B$20,2,FALSE)</f>
        <v>string</v>
      </c>
      <c r="N40" s="20" t="str">
        <f>CONCATENATE(參考!B$2,[資料表詳細]資料表詳細表格[[#This Row],[欄位名稱(英)]])</f>
        <v>oper_id</v>
      </c>
    </row>
    <row r="41" spans="1:14" s="2" customFormat="1">
      <c r="A41" s="74">
        <v>38</v>
      </c>
      <c r="B41" s="22" t="s">
        <v>36</v>
      </c>
      <c r="C41" s="22" t="s">
        <v>94</v>
      </c>
      <c r="D41" s="19">
        <v>5</v>
      </c>
      <c r="E41" s="20" t="s">
        <v>95</v>
      </c>
      <c r="F41" s="20" t="s">
        <v>90</v>
      </c>
      <c r="G41" s="20" t="s">
        <v>14</v>
      </c>
      <c r="H41" s="21"/>
      <c r="I41" s="21" t="s">
        <v>32</v>
      </c>
      <c r="J41" s="21"/>
      <c r="K41" s="20"/>
      <c r="L41" s="20" t="str">
        <f>CONCATENATE(參考!B$1,[資料表詳細]資料表詳細表格[[#This Row],[表名]])</f>
        <v>sys_oper_log_history</v>
      </c>
      <c r="M41" s="2" t="str">
        <f>VLOOKUP([資料表詳細]資料表詳細表格[[#This Row],[屬性類型(Postgre)]],選單!$A$3:$B$20,2,FALSE)</f>
        <v>string</v>
      </c>
      <c r="N41" s="20" t="str">
        <f>CONCATENATE(參考!B$2,[資料表詳細]資料表詳細表格[[#This Row],[欄位名稱(英)]])</f>
        <v>log_content</v>
      </c>
    </row>
    <row r="42" spans="1:14" s="2" customFormat="1">
      <c r="A42" s="74">
        <v>39</v>
      </c>
      <c r="B42" s="22" t="s">
        <v>36</v>
      </c>
      <c r="C42" s="22" t="s">
        <v>94</v>
      </c>
      <c r="D42" s="19">
        <v>6</v>
      </c>
      <c r="E42" s="20" t="s">
        <v>1</v>
      </c>
      <c r="F42" s="20" t="s">
        <v>2</v>
      </c>
      <c r="G42" s="20" t="s">
        <v>41</v>
      </c>
      <c r="H42" s="21">
        <v>20</v>
      </c>
      <c r="I42" s="21" t="s">
        <v>32</v>
      </c>
      <c r="J42" s="21"/>
      <c r="K42" s="20"/>
      <c r="L42" s="20" t="str">
        <f>CONCATENATE(參考!B$1,[資料表詳細]資料表詳細表格[[#This Row],[表名]])</f>
        <v>sys_oper_log_history</v>
      </c>
      <c r="M42" s="2" t="str">
        <f>VLOOKUP([資料表詳細]資料表詳細表格[[#This Row],[屬性類型(Postgre)]],選單!$A$3:$B$20,2,FALSE)</f>
        <v>string</v>
      </c>
      <c r="N42" s="20" t="str">
        <f>CONCATENATE(參考!B$2,[資料表詳細]資料表詳細表格[[#This Row],[欄位名稱(英)]])</f>
        <v>ins_user</v>
      </c>
    </row>
    <row r="43" spans="1:14" s="2" customFormat="1">
      <c r="A43" s="74">
        <v>40</v>
      </c>
      <c r="B43" s="22" t="s">
        <v>36</v>
      </c>
      <c r="C43" s="22" t="s">
        <v>94</v>
      </c>
      <c r="D43" s="19">
        <v>7</v>
      </c>
      <c r="E43" s="20" t="s">
        <v>3</v>
      </c>
      <c r="F43" s="20" t="s">
        <v>4</v>
      </c>
      <c r="G43" s="20" t="s">
        <v>5</v>
      </c>
      <c r="H43" s="21"/>
      <c r="I43" s="21" t="s">
        <v>32</v>
      </c>
      <c r="J43" s="21"/>
      <c r="K43" s="20"/>
      <c r="L43" s="20" t="str">
        <f>CONCATENATE(參考!B$1,[資料表詳細]資料表詳細表格[[#This Row],[表名]])</f>
        <v>sys_oper_log_history</v>
      </c>
      <c r="M43" s="2" t="str">
        <f>VLOOKUP([資料表詳細]資料表詳細表格[[#This Row],[屬性類型(Postgre)]],選單!$A$3:$B$20,2,FALSE)</f>
        <v>DateTime</v>
      </c>
      <c r="N43" s="20" t="str">
        <f>CONCATENATE(參考!B$2,[資料表詳細]資料表詳細表格[[#This Row],[欄位名稱(英)]])</f>
        <v>ins_time</v>
      </c>
    </row>
    <row r="44" spans="1:14" s="2" customFormat="1">
      <c r="A44" s="74">
        <v>41</v>
      </c>
      <c r="B44" s="22" t="s">
        <v>36</v>
      </c>
      <c r="C44" s="22" t="s">
        <v>94</v>
      </c>
      <c r="D44" s="19">
        <v>8</v>
      </c>
      <c r="E44" s="20" t="s">
        <v>6</v>
      </c>
      <c r="F44" s="20" t="s">
        <v>7</v>
      </c>
      <c r="G44" s="20" t="s">
        <v>41</v>
      </c>
      <c r="H44" s="21">
        <v>20</v>
      </c>
      <c r="I44" s="21" t="s">
        <v>32</v>
      </c>
      <c r="J44" s="21"/>
      <c r="K44" s="20"/>
      <c r="L44" s="20" t="str">
        <f>CONCATENATE(參考!B$1,[資料表詳細]資料表詳細表格[[#This Row],[表名]])</f>
        <v>sys_oper_log_history</v>
      </c>
      <c r="M44" s="2" t="str">
        <f>VLOOKUP([資料表詳細]資料表詳細表格[[#This Row],[屬性類型(Postgre)]],選單!$A$3:$B$20,2,FALSE)</f>
        <v>string</v>
      </c>
      <c r="N44" s="20" t="str">
        <f>CONCATENATE(參考!B$2,[資料表詳細]資料表詳細表格[[#This Row],[欄位名稱(英)]])</f>
        <v>upd_user</v>
      </c>
    </row>
    <row r="45" spans="1:14" s="2" customFormat="1">
      <c r="A45" s="74">
        <v>42</v>
      </c>
      <c r="B45" s="22" t="s">
        <v>36</v>
      </c>
      <c r="C45" s="22" t="s">
        <v>94</v>
      </c>
      <c r="D45" s="19">
        <v>9</v>
      </c>
      <c r="E45" s="20" t="s">
        <v>8</v>
      </c>
      <c r="F45" s="20" t="s">
        <v>9</v>
      </c>
      <c r="G45" s="20" t="s">
        <v>5</v>
      </c>
      <c r="H45" s="21"/>
      <c r="I45" s="21" t="s">
        <v>32</v>
      </c>
      <c r="J45" s="21"/>
      <c r="K45" s="20"/>
      <c r="L45" s="20" t="str">
        <f>CONCATENATE(參考!B$1,[資料表詳細]資料表詳細表格[[#This Row],[表名]])</f>
        <v>sys_oper_log_history</v>
      </c>
      <c r="M45" s="2" t="str">
        <f>VLOOKUP([資料表詳細]資料表詳細表格[[#This Row],[屬性類型(Postgre)]],選單!$A$3:$B$20,2,FALSE)</f>
        <v>DateTime</v>
      </c>
      <c r="N45" s="20" t="str">
        <f>CONCATENATE(參考!B$2,[資料表詳細]資料表詳細表格[[#This Row],[欄位名稱(英)]])</f>
        <v>upd_time</v>
      </c>
    </row>
    <row r="46" spans="1:14" s="2" customFormat="1">
      <c r="A46" s="74">
        <v>43</v>
      </c>
      <c r="B46" s="22" t="s">
        <v>36</v>
      </c>
      <c r="C46" s="18" t="s">
        <v>466</v>
      </c>
      <c r="D46" s="19">
        <v>1</v>
      </c>
      <c r="E46" s="20" t="s">
        <v>963</v>
      </c>
      <c r="F46" s="20" t="s">
        <v>469</v>
      </c>
      <c r="G46" s="20" t="s">
        <v>0</v>
      </c>
      <c r="H46" s="21">
        <v>10</v>
      </c>
      <c r="I46" s="21" t="s">
        <v>32</v>
      </c>
      <c r="J46" s="21" t="s">
        <v>474</v>
      </c>
      <c r="K46" s="20"/>
      <c r="L46" s="20" t="str">
        <f>CONCATENATE(參考!B$1,[資料表詳細]資料表詳細表格[[#This Row],[表名]])</f>
        <v>sys_alarm_list</v>
      </c>
      <c r="M46" s="2" t="str">
        <f>VLOOKUP([資料表詳細]資料表詳細表格[[#This Row],[屬性類型(Postgre)]],選單!$A$3:$B$20,2,FALSE)</f>
        <v>string</v>
      </c>
      <c r="N46" s="20" t="str">
        <f>CONCATENATE(參考!B$2,[資料表詳細]資料表詳細表格[[#This Row],[欄位名稱(英)]])</f>
        <v>alarm_list_id</v>
      </c>
    </row>
    <row r="47" spans="1:14" s="2" customFormat="1">
      <c r="A47" s="74">
        <v>44</v>
      </c>
      <c r="B47" s="22" t="s">
        <v>36</v>
      </c>
      <c r="C47" s="33" t="s">
        <v>466</v>
      </c>
      <c r="D47" s="19">
        <v>2</v>
      </c>
      <c r="E47" s="20" t="s">
        <v>490</v>
      </c>
      <c r="F47" s="20" t="s">
        <v>485</v>
      </c>
      <c r="G47" s="20" t="s">
        <v>0</v>
      </c>
      <c r="H47" s="21">
        <v>10</v>
      </c>
      <c r="I47" s="21" t="s">
        <v>32</v>
      </c>
      <c r="J47" s="21"/>
      <c r="K47" s="20"/>
      <c r="L47" s="20" t="str">
        <f>CONCATENATE(參考!B$1,[資料表詳細]資料表詳細表格[[#This Row],[表名]])</f>
        <v>sys_alarm_list</v>
      </c>
      <c r="M47" s="18" t="str">
        <f>VLOOKUP([資料表詳細]資料表詳細表格[[#This Row],[屬性類型(Postgre)]],選單!$A$3:$B$20,2,FALSE)</f>
        <v>string</v>
      </c>
      <c r="N47" s="20" t="str">
        <f>CONCATENATE(參考!B$2,[資料表詳細]資料表詳細表格[[#This Row],[欄位名稱(英)]])</f>
        <v>alarm_source</v>
      </c>
    </row>
    <row r="48" spans="1:14" s="2" customFormat="1">
      <c r="A48" s="74">
        <v>45</v>
      </c>
      <c r="B48" s="22" t="s">
        <v>36</v>
      </c>
      <c r="C48" s="33" t="s">
        <v>466</v>
      </c>
      <c r="D48" s="19">
        <v>3</v>
      </c>
      <c r="E48" s="20" t="s">
        <v>470</v>
      </c>
      <c r="F48" s="20" t="s">
        <v>482</v>
      </c>
      <c r="G48" s="20" t="s">
        <v>130</v>
      </c>
      <c r="H48" s="21"/>
      <c r="I48" s="21" t="s">
        <v>32</v>
      </c>
      <c r="J48" s="21"/>
      <c r="K48" s="20"/>
      <c r="L48" s="20" t="str">
        <f>CONCATENATE(參考!B$1,[資料表詳細]資料表詳細表格[[#This Row],[表名]])</f>
        <v>sys_alarm_list</v>
      </c>
      <c r="M48" s="2" t="str">
        <f>VLOOKUP([資料表詳細]資料表詳細表格[[#This Row],[屬性類型(Postgre)]],選單!$A$3:$B$20,2,FALSE)</f>
        <v>int</v>
      </c>
      <c r="N48" s="20" t="str">
        <f>CONCATENATE(參考!B$2,[資料表詳細]資料表詳細表格[[#This Row],[欄位名稱(英)]])</f>
        <v>alarm_level</v>
      </c>
    </row>
    <row r="49" spans="1:14" s="2" customFormat="1">
      <c r="A49" s="74">
        <v>46</v>
      </c>
      <c r="B49" s="22" t="s">
        <v>36</v>
      </c>
      <c r="C49" s="33" t="s">
        <v>466</v>
      </c>
      <c r="D49" s="19">
        <v>4</v>
      </c>
      <c r="E49" s="20" t="s">
        <v>12</v>
      </c>
      <c r="F49" s="20" t="s">
        <v>487</v>
      </c>
      <c r="G49" s="20" t="s">
        <v>0</v>
      </c>
      <c r="H49" s="21">
        <v>50</v>
      </c>
      <c r="I49" s="21" t="s">
        <v>32</v>
      </c>
      <c r="J49" s="21"/>
      <c r="K49" s="20"/>
      <c r="L49" s="20" t="str">
        <f>CONCATENATE(參考!B$1,[資料表詳細]資料表詳細表格[[#This Row],[表名]])</f>
        <v>sys_alarm_list</v>
      </c>
      <c r="M49" s="2" t="str">
        <f>VLOOKUP([資料表詳細]資料表詳細表格[[#This Row],[屬性類型(Postgre)]],選單!$A$3:$B$20,2,FALSE)</f>
        <v>string</v>
      </c>
      <c r="N49" s="20" t="str">
        <f>CONCATENATE(參考!B$2,[資料表詳細]資料表詳細表格[[#This Row],[欄位名稱(英)]])</f>
        <v>description</v>
      </c>
    </row>
    <row r="50" spans="1:14" s="2" customFormat="1">
      <c r="A50" s="74">
        <v>47</v>
      </c>
      <c r="B50" s="22" t="s">
        <v>36</v>
      </c>
      <c r="C50" s="33" t="s">
        <v>466</v>
      </c>
      <c r="D50" s="19">
        <v>5</v>
      </c>
      <c r="E50" s="20" t="s">
        <v>484</v>
      </c>
      <c r="F50" s="20" t="s">
        <v>488</v>
      </c>
      <c r="G50" s="20" t="s">
        <v>0</v>
      </c>
      <c r="H50" s="21">
        <v>50</v>
      </c>
      <c r="I50" s="21" t="s">
        <v>32</v>
      </c>
      <c r="J50" s="21"/>
      <c r="K50" s="20"/>
      <c r="L50" s="20" t="str">
        <f>CONCATENATE(參考!B$1,[資料表詳細]資料表詳細表格[[#This Row],[表名]])</f>
        <v>sys_alarm_list</v>
      </c>
      <c r="M50" s="2" t="str">
        <f>VLOOKUP([資料表詳細]資料表詳細表格[[#This Row],[屬性類型(Postgre)]],選單!$A$3:$B$20,2,FALSE)</f>
        <v>string</v>
      </c>
      <c r="N50" s="20" t="str">
        <f>CONCATENATE(參考!B$2,[資料表詳細]資料表詳細表格[[#This Row],[欄位名稱(英)]])</f>
        <v>description_eng</v>
      </c>
    </row>
    <row r="51" spans="1:14" s="2" customFormat="1">
      <c r="A51" s="74">
        <v>48</v>
      </c>
      <c r="B51" s="22" t="s">
        <v>36</v>
      </c>
      <c r="C51" s="33" t="s">
        <v>466</v>
      </c>
      <c r="D51" s="19">
        <v>6</v>
      </c>
      <c r="E51" s="20" t="s">
        <v>471</v>
      </c>
      <c r="F51" s="20" t="s">
        <v>486</v>
      </c>
      <c r="G51" s="20" t="s">
        <v>14</v>
      </c>
      <c r="H51" s="21"/>
      <c r="I51" s="21" t="s">
        <v>32</v>
      </c>
      <c r="J51" s="21"/>
      <c r="K51" s="20"/>
      <c r="L51" s="20" t="str">
        <f>CONCATENATE(參考!B$1,[資料表詳細]資料表詳細表格[[#This Row],[表名]])</f>
        <v>sys_alarm_list</v>
      </c>
      <c r="M51" s="2" t="str">
        <f>VLOOKUP([資料表詳細]資料表詳細表格[[#This Row],[屬性類型(Postgre)]],選單!$A$3:$B$20,2,FALSE)</f>
        <v>string</v>
      </c>
      <c r="N51" s="20" t="str">
        <f>CONCATENATE(參考!B$2,[資料表詳細]資料表詳細表格[[#This Row],[欄位名稱(英)]])</f>
        <v>possible_reason</v>
      </c>
    </row>
    <row r="52" spans="1:14" s="2" customFormat="1">
      <c r="A52" s="74">
        <v>49</v>
      </c>
      <c r="B52" s="22" t="s">
        <v>36</v>
      </c>
      <c r="C52" s="33" t="s">
        <v>466</v>
      </c>
      <c r="D52" s="19">
        <v>7</v>
      </c>
      <c r="E52" s="20" t="s">
        <v>480</v>
      </c>
      <c r="F52" s="20" t="s">
        <v>489</v>
      </c>
      <c r="G52" s="20" t="s">
        <v>14</v>
      </c>
      <c r="H52" s="21"/>
      <c r="I52" s="21" t="s">
        <v>32</v>
      </c>
      <c r="J52" s="21"/>
      <c r="K52" s="20"/>
      <c r="L52" s="20" t="str">
        <f>CONCATENATE(參考!B$1,[資料表詳細]資料表詳細表格[[#This Row],[表名]])</f>
        <v>sys_alarm_list</v>
      </c>
      <c r="M52" s="2" t="str">
        <f>VLOOKUP([資料表詳細]資料表詳細表格[[#This Row],[屬性類型(Postgre)]],選單!$A$3:$B$20,2,FALSE)</f>
        <v>string</v>
      </c>
      <c r="N52" s="20" t="str">
        <f>CONCATENATE(參考!B$2,[資料表詳細]資料表詳細表格[[#This Row],[欄位名稱(英)]])</f>
        <v>possible_reason_eng</v>
      </c>
    </row>
    <row r="53" spans="1:14" s="2" customFormat="1">
      <c r="A53" s="74">
        <v>50</v>
      </c>
      <c r="B53" s="22" t="s">
        <v>36</v>
      </c>
      <c r="C53" s="33" t="s">
        <v>466</v>
      </c>
      <c r="D53" s="19">
        <v>8</v>
      </c>
      <c r="E53" s="20" t="s">
        <v>472</v>
      </c>
      <c r="F53" s="20" t="s">
        <v>473</v>
      </c>
      <c r="G53" s="20" t="s">
        <v>130</v>
      </c>
      <c r="H53" s="21"/>
      <c r="I53" s="21" t="s">
        <v>32</v>
      </c>
      <c r="J53" s="21"/>
      <c r="K53" s="20"/>
      <c r="L53" s="20" t="str">
        <f>CONCATENATE(參考!B$1,[資料表詳細]資料表詳細表格[[#This Row],[表名]])</f>
        <v>sys_alarm_list</v>
      </c>
      <c r="M53" s="2" t="str">
        <f>VLOOKUP([資料表詳細]資料表詳細表格[[#This Row],[屬性類型(Postgre)]],選單!$A$3:$B$20,2,FALSE)</f>
        <v>int</v>
      </c>
      <c r="N53" s="20" t="str">
        <f>CONCATENATE(參考!B$2,[資料表詳細]資料表詳細表格[[#This Row],[欄位名稱(英)]])</f>
        <v>alarm_volume</v>
      </c>
    </row>
    <row r="54" spans="1:14" s="2" customFormat="1">
      <c r="A54" s="74">
        <v>51</v>
      </c>
      <c r="B54" s="22" t="s">
        <v>36</v>
      </c>
      <c r="C54" s="33" t="s">
        <v>466</v>
      </c>
      <c r="D54" s="19">
        <v>9</v>
      </c>
      <c r="E54" s="20" t="s">
        <v>16</v>
      </c>
      <c r="F54" s="20" t="s">
        <v>17</v>
      </c>
      <c r="G54" s="20" t="s">
        <v>100</v>
      </c>
      <c r="H54" s="21"/>
      <c r="I54" s="21" t="s">
        <v>32</v>
      </c>
      <c r="J54" s="21"/>
      <c r="K54" s="20"/>
      <c r="L54" s="20" t="str">
        <f>CONCATENATE(參考!B$1,[資料表詳細]資料表詳細表格[[#This Row],[表名]])</f>
        <v>sys_alarm_list</v>
      </c>
      <c r="M54" s="2" t="str">
        <f>VLOOKUP([資料表詳細]資料表詳細表格[[#This Row],[屬性類型(Postgre)]],選單!$A$3:$B$20,2,FALSE)</f>
        <v>bool</v>
      </c>
      <c r="N54" s="20" t="str">
        <f>CONCATENATE(參考!B$2,[資料表詳細]資料表詳細表格[[#This Row],[欄位名稱(英)]])</f>
        <v>is_enable</v>
      </c>
    </row>
    <row r="55" spans="1:14" s="2" customFormat="1">
      <c r="A55" s="74">
        <v>52</v>
      </c>
      <c r="B55" s="22" t="s">
        <v>36</v>
      </c>
      <c r="C55" s="33" t="s">
        <v>466</v>
      </c>
      <c r="D55" s="19">
        <v>10</v>
      </c>
      <c r="E55" s="20" t="s">
        <v>1</v>
      </c>
      <c r="F55" s="20" t="s">
        <v>2</v>
      </c>
      <c r="G55" s="20" t="s">
        <v>41</v>
      </c>
      <c r="H55" s="21">
        <v>20</v>
      </c>
      <c r="I55" s="21" t="s">
        <v>32</v>
      </c>
      <c r="J55" s="21"/>
      <c r="K55" s="20"/>
      <c r="L55" s="20" t="str">
        <f>CONCATENATE(參考!B$1,[資料表詳細]資料表詳細表格[[#This Row],[表名]])</f>
        <v>sys_alarm_list</v>
      </c>
      <c r="M55" s="2" t="str">
        <f>VLOOKUP([資料表詳細]資料表詳細表格[[#This Row],[屬性類型(Postgre)]],選單!$A$3:$B$20,2,FALSE)</f>
        <v>string</v>
      </c>
      <c r="N55" s="20" t="str">
        <f>CONCATENATE(參考!B$2,[資料表詳細]資料表詳細表格[[#This Row],[欄位名稱(英)]])</f>
        <v>ins_user</v>
      </c>
    </row>
    <row r="56" spans="1:14" s="2" customFormat="1">
      <c r="A56" s="74">
        <v>53</v>
      </c>
      <c r="B56" s="22" t="s">
        <v>36</v>
      </c>
      <c r="C56" s="33" t="s">
        <v>466</v>
      </c>
      <c r="D56" s="19">
        <v>11</v>
      </c>
      <c r="E56" s="20" t="s">
        <v>3</v>
      </c>
      <c r="F56" s="20" t="s">
        <v>4</v>
      </c>
      <c r="G56" s="20" t="s">
        <v>5</v>
      </c>
      <c r="H56" s="21"/>
      <c r="I56" s="21" t="s">
        <v>32</v>
      </c>
      <c r="J56" s="21"/>
      <c r="K56" s="20"/>
      <c r="L56" s="20" t="str">
        <f>CONCATENATE(參考!B$1,[資料表詳細]資料表詳細表格[[#This Row],[表名]])</f>
        <v>sys_alarm_list</v>
      </c>
      <c r="M56" s="2" t="str">
        <f>VLOOKUP([資料表詳細]資料表詳細表格[[#This Row],[屬性類型(Postgre)]],選單!$A$3:$B$20,2,FALSE)</f>
        <v>DateTime</v>
      </c>
      <c r="N56" s="20" t="str">
        <f>CONCATENATE(參考!B$2,[資料表詳細]資料表詳細表格[[#This Row],[欄位名稱(英)]])</f>
        <v>ins_time</v>
      </c>
    </row>
    <row r="57" spans="1:14" s="2" customFormat="1">
      <c r="A57" s="74">
        <v>54</v>
      </c>
      <c r="B57" s="22" t="s">
        <v>36</v>
      </c>
      <c r="C57" s="33" t="s">
        <v>466</v>
      </c>
      <c r="D57" s="19">
        <v>12</v>
      </c>
      <c r="E57" s="20" t="s">
        <v>6</v>
      </c>
      <c r="F57" s="20" t="s">
        <v>7</v>
      </c>
      <c r="G57" s="20" t="s">
        <v>41</v>
      </c>
      <c r="H57" s="21">
        <v>20</v>
      </c>
      <c r="I57" s="21" t="s">
        <v>32</v>
      </c>
      <c r="J57" s="21"/>
      <c r="K57" s="20"/>
      <c r="L57" s="20" t="str">
        <f>CONCATENATE(參考!B$1,[資料表詳細]資料表詳細表格[[#This Row],[表名]])</f>
        <v>sys_alarm_list</v>
      </c>
      <c r="M57" s="2" t="str">
        <f>VLOOKUP([資料表詳細]資料表詳細表格[[#This Row],[屬性類型(Postgre)]],選單!$A$3:$B$20,2,FALSE)</f>
        <v>string</v>
      </c>
      <c r="N57" s="20" t="str">
        <f>CONCATENATE(參考!B$2,[資料表詳細]資料表詳細表格[[#This Row],[欄位名稱(英)]])</f>
        <v>upd_user</v>
      </c>
    </row>
    <row r="58" spans="1:14" s="2" customFormat="1">
      <c r="A58" s="74">
        <v>55</v>
      </c>
      <c r="B58" s="22" t="s">
        <v>36</v>
      </c>
      <c r="C58" s="33" t="s">
        <v>466</v>
      </c>
      <c r="D58" s="19">
        <v>13</v>
      </c>
      <c r="E58" s="20" t="s">
        <v>8</v>
      </c>
      <c r="F58" s="20" t="s">
        <v>9</v>
      </c>
      <c r="G58" s="20" t="s">
        <v>5</v>
      </c>
      <c r="H58" s="21"/>
      <c r="I58" s="21" t="s">
        <v>32</v>
      </c>
      <c r="J58" s="21"/>
      <c r="K58" s="20"/>
      <c r="L58" s="20" t="str">
        <f>CONCATENATE(參考!B$1,[資料表詳細]資料表詳細表格[[#This Row],[表名]])</f>
        <v>sys_alarm_list</v>
      </c>
      <c r="M58" s="2" t="str">
        <f>VLOOKUP([資料表詳細]資料表詳細表格[[#This Row],[屬性類型(Postgre)]],選單!$A$3:$B$20,2,FALSE)</f>
        <v>DateTime</v>
      </c>
      <c r="N58" s="20" t="str">
        <f>CONCATENATE(參考!B$2,[資料表詳細]資料表詳細表格[[#This Row],[欄位名稱(英)]])</f>
        <v>upd_time</v>
      </c>
    </row>
    <row r="59" spans="1:14" s="2" customFormat="1">
      <c r="A59" s="74">
        <v>56</v>
      </c>
      <c r="B59" s="22" t="s">
        <v>36</v>
      </c>
      <c r="C59" s="18" t="s">
        <v>493</v>
      </c>
      <c r="D59" s="19">
        <v>1</v>
      </c>
      <c r="E59" s="20" t="s">
        <v>468</v>
      </c>
      <c r="F59" s="20" t="s">
        <v>469</v>
      </c>
      <c r="G59" s="20" t="s">
        <v>71</v>
      </c>
      <c r="H59" s="21"/>
      <c r="I59" s="21" t="s">
        <v>32</v>
      </c>
      <c r="J59" s="21" t="s">
        <v>474</v>
      </c>
      <c r="K59" s="20"/>
      <c r="L59" s="20" t="str">
        <f>CONCATENATE(參考!B$1,[資料表詳細]資料表詳細表格[[#This Row],[表名]])</f>
        <v>sys_alarm</v>
      </c>
      <c r="M59" s="2" t="str">
        <f>VLOOKUP([資料表詳細]資料表詳細表格[[#This Row],[屬性類型(Postgre)]],選單!$A$3:$B$20,2,FALSE)</f>
        <v>Guid</v>
      </c>
      <c r="N59" s="20" t="str">
        <f>CONCATENATE(參考!B$2,[資料表詳細]資料表詳細表格[[#This Row],[欄位名稱(英)]])</f>
        <v>alarm_id</v>
      </c>
    </row>
    <row r="60" spans="1:14" s="2" customFormat="1">
      <c r="A60" s="74">
        <v>57</v>
      </c>
      <c r="B60" s="22" t="s">
        <v>36</v>
      </c>
      <c r="C60" s="33" t="s">
        <v>493</v>
      </c>
      <c r="D60" s="19">
        <v>2</v>
      </c>
      <c r="E60" s="20" t="s">
        <v>497</v>
      </c>
      <c r="F60" s="20" t="s">
        <v>503</v>
      </c>
      <c r="G60" s="20" t="s">
        <v>0</v>
      </c>
      <c r="H60" s="21">
        <v>14</v>
      </c>
      <c r="I60" s="21" t="s">
        <v>32</v>
      </c>
      <c r="J60" s="21"/>
      <c r="K60" s="20"/>
      <c r="L60" s="20" t="str">
        <f>CONCATENATE(參考!B$1,[資料表詳細]資料表詳細表格[[#This Row],[表名]])</f>
        <v>sys_alarm</v>
      </c>
      <c r="M60" s="2" t="str">
        <f>VLOOKUP([資料表詳細]資料表詳細表格[[#This Row],[屬性類型(Postgre)]],選單!$A$3:$B$20,2,FALSE)</f>
        <v>string</v>
      </c>
      <c r="N60" s="20" t="str">
        <f>CONCATENATE(參考!B$2,[資料表詳細]資料表詳細表格[[#This Row],[欄位名稱(英)]])</f>
        <v>alarm_time</v>
      </c>
    </row>
    <row r="61" spans="1:14" s="2" customFormat="1">
      <c r="A61" s="74">
        <v>58</v>
      </c>
      <c r="B61" s="22" t="s">
        <v>36</v>
      </c>
      <c r="C61" s="33" t="s">
        <v>493</v>
      </c>
      <c r="D61" s="19">
        <v>3</v>
      </c>
      <c r="E61" s="20" t="s">
        <v>499</v>
      </c>
      <c r="F61" s="20" t="s">
        <v>504</v>
      </c>
      <c r="G61" s="20" t="s">
        <v>0</v>
      </c>
      <c r="H61" s="21">
        <v>14</v>
      </c>
      <c r="I61" s="21" t="s">
        <v>34</v>
      </c>
      <c r="J61" s="21"/>
      <c r="K61" s="20"/>
      <c r="L61" s="20" t="str">
        <f>CONCATENATE(參考!B$1,[資料表詳細]資料表詳細表格[[#This Row],[表名]])</f>
        <v>sys_alarm</v>
      </c>
      <c r="M61" s="2" t="str">
        <f>VLOOKUP([資料表詳細]資料表詳細表格[[#This Row],[屬性類型(Postgre)]],選單!$A$3:$B$20,2,FALSE)</f>
        <v>string</v>
      </c>
      <c r="N61" s="20" t="str">
        <f>CONCATENATE(參考!B$2,[資料表詳細]資料表詳細表格[[#This Row],[欄位名稱(英)]])</f>
        <v>release_time</v>
      </c>
    </row>
    <row r="62" spans="1:14" s="2" customFormat="1">
      <c r="A62" s="74">
        <v>59</v>
      </c>
      <c r="B62" s="22" t="s">
        <v>36</v>
      </c>
      <c r="C62" s="33" t="s">
        <v>493</v>
      </c>
      <c r="D62" s="19">
        <v>4</v>
      </c>
      <c r="E62" s="20" t="s">
        <v>500</v>
      </c>
      <c r="F62" s="20" t="s">
        <v>505</v>
      </c>
      <c r="G62" s="20" t="s">
        <v>0</v>
      </c>
      <c r="H62" s="21">
        <v>14</v>
      </c>
      <c r="I62" s="21" t="s">
        <v>34</v>
      </c>
      <c r="J62" s="21"/>
      <c r="K62" s="20"/>
      <c r="L62" s="20" t="str">
        <f>CONCATENATE(參考!B$1,[資料表詳細]資料表詳細表格[[#This Row],[表名]])</f>
        <v>sys_alarm</v>
      </c>
      <c r="M62" s="2" t="str">
        <f>VLOOKUP([資料表詳細]資料表詳細表格[[#This Row],[屬性類型(Postgre)]],選單!$A$3:$B$20,2,FALSE)</f>
        <v>string</v>
      </c>
      <c r="N62" s="20" t="str">
        <f>CONCATENATE(參考!B$2,[資料表詳細]資料表詳細表格[[#This Row],[欄位名稱(英)]])</f>
        <v>check_time</v>
      </c>
    </row>
    <row r="63" spans="1:14" s="2" customFormat="1">
      <c r="A63" s="74">
        <v>60</v>
      </c>
      <c r="B63" s="22" t="s">
        <v>36</v>
      </c>
      <c r="C63" s="33" t="s">
        <v>493</v>
      </c>
      <c r="D63" s="19">
        <v>5</v>
      </c>
      <c r="E63" s="20" t="s">
        <v>964</v>
      </c>
      <c r="F63" s="20" t="s">
        <v>972</v>
      </c>
      <c r="G63" s="20" t="s">
        <v>41</v>
      </c>
      <c r="H63" s="21">
        <v>20</v>
      </c>
      <c r="I63" s="21" t="s">
        <v>34</v>
      </c>
      <c r="J63" s="21"/>
      <c r="K63" s="20"/>
      <c r="L63" s="20" t="str">
        <f>CONCATENATE(參考!B$1,[資料表詳細]資料表詳細表格[[#This Row],[表名]])</f>
        <v>sys_alarm</v>
      </c>
      <c r="M63" s="2" t="str">
        <f>VLOOKUP([資料表詳細]資料表詳細表格[[#This Row],[屬性類型(Postgre)]],選單!$A$3:$B$20,2,FALSE)</f>
        <v>string</v>
      </c>
      <c r="N63" s="20" t="str">
        <f>CONCATENATE(參考!B$2,[資料表詳細]資料表詳細表格[[#This Row],[欄位名稱(英)]])</f>
        <v>check_account_id</v>
      </c>
    </row>
    <row r="64" spans="1:14" s="2" customFormat="1">
      <c r="A64" s="74">
        <v>61</v>
      </c>
      <c r="B64" s="22" t="s">
        <v>36</v>
      </c>
      <c r="C64" s="33" t="s">
        <v>493</v>
      </c>
      <c r="D64" s="19">
        <v>6</v>
      </c>
      <c r="E64" s="20" t="s">
        <v>971</v>
      </c>
      <c r="F64" s="20" t="s">
        <v>973</v>
      </c>
      <c r="G64" s="20" t="s">
        <v>76</v>
      </c>
      <c r="H64" s="21"/>
      <c r="I64" s="21" t="s">
        <v>34</v>
      </c>
      <c r="J64" s="21"/>
      <c r="K64" s="20"/>
      <c r="L64" s="20" t="str">
        <f>CONCATENATE(參考!B$1,[資料表詳細]資料表詳細表格[[#This Row],[表名]])</f>
        <v>sys_alarm</v>
      </c>
      <c r="M64" s="2" t="str">
        <f>VLOOKUP([資料表詳細]資料表詳細表格[[#This Row],[屬性類型(Postgre)]],選單!$A$3:$B$20,2,FALSE)</f>
        <v>string</v>
      </c>
      <c r="N64" s="20" t="str">
        <f>CONCATENATE(參考!B$2,[資料表詳細]資料表詳細表格[[#This Row],[欄位名稱(英)]])</f>
        <v>check_account_name</v>
      </c>
    </row>
    <row r="65" spans="1:14" s="2" customFormat="1">
      <c r="A65" s="74">
        <v>62</v>
      </c>
      <c r="B65" s="22" t="s">
        <v>36</v>
      </c>
      <c r="C65" s="33" t="s">
        <v>493</v>
      </c>
      <c r="D65" s="19">
        <v>7</v>
      </c>
      <c r="E65" s="20" t="s">
        <v>907</v>
      </c>
      <c r="F65" s="20" t="s">
        <v>173</v>
      </c>
      <c r="G65" s="20" t="s">
        <v>41</v>
      </c>
      <c r="H65" s="21">
        <v>10</v>
      </c>
      <c r="I65" s="21" t="s">
        <v>32</v>
      </c>
      <c r="J65" s="21"/>
      <c r="K65" s="20"/>
      <c r="L65" s="20" t="str">
        <f>CONCATENATE(參考!B$1,[資料表詳細]資料表詳細表格[[#This Row],[表名]])</f>
        <v>sys_alarm</v>
      </c>
      <c r="M65" s="2" t="str">
        <f>VLOOKUP([資料表詳細]資料表詳細表格[[#This Row],[屬性類型(Postgre)]],選單!$A$3:$B$20,2,FALSE)</f>
        <v>string</v>
      </c>
      <c r="N65" s="20" t="str">
        <f>CONCATENATE(參考!B$2,[資料表詳細]資料表詳細表格[[#This Row],[欄位名稱(英)]])</f>
        <v>equip_id</v>
      </c>
    </row>
    <row r="66" spans="1:14" s="2" customFormat="1">
      <c r="A66" s="74">
        <v>63</v>
      </c>
      <c r="B66" s="22" t="s">
        <v>36</v>
      </c>
      <c r="C66" s="33" t="s">
        <v>493</v>
      </c>
      <c r="D66" s="19">
        <v>8</v>
      </c>
      <c r="E66" s="20" t="s">
        <v>963</v>
      </c>
      <c r="F66" s="20" t="s">
        <v>469</v>
      </c>
      <c r="G66" s="20" t="s">
        <v>41</v>
      </c>
      <c r="H66" s="21">
        <v>10</v>
      </c>
      <c r="I66" s="21" t="s">
        <v>32</v>
      </c>
      <c r="J66" s="21"/>
      <c r="K66" s="20"/>
      <c r="L66" s="20" t="str">
        <f>CONCATENATE(參考!B$1,[資料表詳細]資料表詳細表格[[#This Row],[表名]])</f>
        <v>sys_alarm</v>
      </c>
      <c r="M66" s="2" t="str">
        <f>VLOOKUP([資料表詳細]資料表詳細表格[[#This Row],[屬性類型(Postgre)]],選單!$A$3:$B$20,2,FALSE)</f>
        <v>string</v>
      </c>
      <c r="N66" s="20" t="str">
        <f>CONCATENATE(參考!B$2,[資料表詳細]資料表詳細表格[[#This Row],[欄位名稱(英)]])</f>
        <v>alarm_list_id</v>
      </c>
    </row>
    <row r="67" spans="1:14" s="2" customFormat="1">
      <c r="A67" s="74">
        <v>64</v>
      </c>
      <c r="B67" s="22" t="s">
        <v>36</v>
      </c>
      <c r="C67" s="33" t="s">
        <v>493</v>
      </c>
      <c r="D67" s="19">
        <v>9</v>
      </c>
      <c r="E67" s="20" t="s">
        <v>1</v>
      </c>
      <c r="F67" s="20" t="s">
        <v>2</v>
      </c>
      <c r="G67" s="20" t="s">
        <v>41</v>
      </c>
      <c r="H67" s="21">
        <v>20</v>
      </c>
      <c r="I67" s="21" t="s">
        <v>32</v>
      </c>
      <c r="J67" s="21"/>
      <c r="K67" s="20"/>
      <c r="L67" s="20" t="str">
        <f>CONCATENATE(參考!B$1,[資料表詳細]資料表詳細表格[[#This Row],[表名]])</f>
        <v>sys_alarm</v>
      </c>
      <c r="M67" s="18" t="str">
        <f>VLOOKUP([資料表詳細]資料表詳細表格[[#This Row],[屬性類型(Postgre)]],選單!$A$3:$B$20,2,FALSE)</f>
        <v>string</v>
      </c>
      <c r="N67" s="20" t="str">
        <f>CONCATENATE(參考!B$2,[資料表詳細]資料表詳細表格[[#This Row],[欄位名稱(英)]])</f>
        <v>ins_user</v>
      </c>
    </row>
    <row r="68" spans="1:14" s="2" customFormat="1">
      <c r="A68" s="74">
        <v>65</v>
      </c>
      <c r="B68" s="22" t="s">
        <v>36</v>
      </c>
      <c r="C68" s="33" t="s">
        <v>493</v>
      </c>
      <c r="D68" s="19">
        <v>10</v>
      </c>
      <c r="E68" s="20" t="s">
        <v>3</v>
      </c>
      <c r="F68" s="20" t="s">
        <v>4</v>
      </c>
      <c r="G68" s="20" t="s">
        <v>5</v>
      </c>
      <c r="H68" s="21"/>
      <c r="I68" s="21" t="s">
        <v>32</v>
      </c>
      <c r="J68" s="21"/>
      <c r="K68" s="20"/>
      <c r="L68" s="20" t="str">
        <f>CONCATENATE(參考!B$1,[資料表詳細]資料表詳細表格[[#This Row],[表名]])</f>
        <v>sys_alarm</v>
      </c>
      <c r="M68" s="18" t="str">
        <f>VLOOKUP([資料表詳細]資料表詳細表格[[#This Row],[屬性類型(Postgre)]],選單!$A$3:$B$20,2,FALSE)</f>
        <v>DateTime</v>
      </c>
      <c r="N68" s="20" t="str">
        <f>CONCATENATE(參考!B$2,[資料表詳細]資料表詳細表格[[#This Row],[欄位名稱(英)]])</f>
        <v>ins_time</v>
      </c>
    </row>
    <row r="69" spans="1:14" s="2" customFormat="1">
      <c r="A69" s="74">
        <v>66</v>
      </c>
      <c r="B69" s="22" t="s">
        <v>36</v>
      </c>
      <c r="C69" s="33" t="s">
        <v>493</v>
      </c>
      <c r="D69" s="19">
        <v>11</v>
      </c>
      <c r="E69" s="20" t="s">
        <v>6</v>
      </c>
      <c r="F69" s="20" t="s">
        <v>7</v>
      </c>
      <c r="G69" s="20" t="s">
        <v>41</v>
      </c>
      <c r="H69" s="21">
        <v>20</v>
      </c>
      <c r="I69" s="21" t="s">
        <v>32</v>
      </c>
      <c r="J69" s="21"/>
      <c r="K69" s="20"/>
      <c r="L69" s="20" t="str">
        <f>CONCATENATE(參考!B$1,[資料表詳細]資料表詳細表格[[#This Row],[表名]])</f>
        <v>sys_alarm</v>
      </c>
      <c r="M69" s="18" t="str">
        <f>VLOOKUP([資料表詳細]資料表詳細表格[[#This Row],[屬性類型(Postgre)]],選單!$A$3:$B$20,2,FALSE)</f>
        <v>string</v>
      </c>
      <c r="N69" s="20" t="str">
        <f>CONCATENATE(參考!B$2,[資料表詳細]資料表詳細表格[[#This Row],[欄位名稱(英)]])</f>
        <v>upd_user</v>
      </c>
    </row>
    <row r="70" spans="1:14" s="2" customFormat="1">
      <c r="A70" s="74">
        <v>67</v>
      </c>
      <c r="B70" s="22" t="s">
        <v>36</v>
      </c>
      <c r="C70" s="33" t="s">
        <v>493</v>
      </c>
      <c r="D70" s="19">
        <v>12</v>
      </c>
      <c r="E70" s="20" t="s">
        <v>8</v>
      </c>
      <c r="F70" s="20" t="s">
        <v>9</v>
      </c>
      <c r="G70" s="20" t="s">
        <v>5</v>
      </c>
      <c r="H70" s="21"/>
      <c r="I70" s="21" t="s">
        <v>32</v>
      </c>
      <c r="J70" s="21"/>
      <c r="K70" s="20"/>
      <c r="L70" s="20" t="str">
        <f>CONCATENATE(參考!B$1,[資料表詳細]資料表詳細表格[[#This Row],[表名]])</f>
        <v>sys_alarm</v>
      </c>
      <c r="M70" s="18" t="str">
        <f>VLOOKUP([資料表詳細]資料表詳細表格[[#This Row],[屬性類型(Postgre)]],選單!$A$3:$B$20,2,FALSE)</f>
        <v>DateTime</v>
      </c>
      <c r="N70" s="20" t="str">
        <f>CONCATENATE(參考!B$2,[資料表詳細]資料表詳細表格[[#This Row],[欄位名稱(英)]])</f>
        <v>upd_time</v>
      </c>
    </row>
    <row r="71" spans="1:14" s="2" customFormat="1">
      <c r="A71" s="74">
        <v>68</v>
      </c>
      <c r="B71" s="22" t="s">
        <v>36</v>
      </c>
      <c r="C71" s="18" t="s">
        <v>492</v>
      </c>
      <c r="D71" s="19">
        <v>1</v>
      </c>
      <c r="E71" s="20" t="s">
        <v>468</v>
      </c>
      <c r="F71" s="20" t="s">
        <v>469</v>
      </c>
      <c r="G71" s="20" t="s">
        <v>0</v>
      </c>
      <c r="H71" s="21">
        <v>10</v>
      </c>
      <c r="I71" s="21" t="s">
        <v>32</v>
      </c>
      <c r="J71" s="21" t="s">
        <v>474</v>
      </c>
      <c r="K71" s="20"/>
      <c r="L71" s="20" t="str">
        <f>CONCATENATE(參考!B$1,[資料表詳細]資料表詳細表格[[#This Row],[表名]])</f>
        <v>sys_alarm_history</v>
      </c>
      <c r="M71" s="18" t="str">
        <f>VLOOKUP([資料表詳細]資料表詳細表格[[#This Row],[屬性類型(Postgre)]],選單!$A$3:$B$20,2,FALSE)</f>
        <v>string</v>
      </c>
      <c r="N71" s="20" t="str">
        <f>CONCATENATE(參考!B$2,[資料表詳細]資料表詳細表格[[#This Row],[欄位名稱(英)]])</f>
        <v>alarm_id</v>
      </c>
    </row>
    <row r="72" spans="1:14" s="2" customFormat="1">
      <c r="A72" s="74">
        <v>69</v>
      </c>
      <c r="B72" s="22" t="s">
        <v>36</v>
      </c>
      <c r="C72" s="33" t="s">
        <v>491</v>
      </c>
      <c r="D72" s="19">
        <v>2</v>
      </c>
      <c r="E72" s="20" t="s">
        <v>497</v>
      </c>
      <c r="F72" s="20" t="s">
        <v>503</v>
      </c>
      <c r="G72" s="20" t="s">
        <v>5</v>
      </c>
      <c r="H72" s="21"/>
      <c r="I72" s="21" t="s">
        <v>32</v>
      </c>
      <c r="J72" s="21" t="s">
        <v>474</v>
      </c>
      <c r="K72" s="20"/>
      <c r="L72" s="20" t="str">
        <f>CONCATENATE(參考!B$1,[資料表詳細]資料表詳細表格[[#This Row],[表名]])</f>
        <v>sys_alarm_history</v>
      </c>
      <c r="M72" s="18" t="str">
        <f>VLOOKUP([資料表詳細]資料表詳細表格[[#This Row],[屬性類型(Postgre)]],選單!$A$3:$B$20,2,FALSE)</f>
        <v>DateTime</v>
      </c>
      <c r="N72" s="20" t="str">
        <f>CONCATENATE(參考!B$2,[資料表詳細]資料表詳細表格[[#This Row],[欄位名稱(英)]])</f>
        <v>alarm_time</v>
      </c>
    </row>
    <row r="73" spans="1:14" s="2" customFormat="1">
      <c r="A73" s="74">
        <v>70</v>
      </c>
      <c r="B73" s="22" t="s">
        <v>36</v>
      </c>
      <c r="C73" s="33" t="s">
        <v>491</v>
      </c>
      <c r="D73" s="19">
        <v>3</v>
      </c>
      <c r="E73" s="20" t="s">
        <v>498</v>
      </c>
      <c r="F73" s="20" t="s">
        <v>502</v>
      </c>
      <c r="G73" s="20" t="s">
        <v>41</v>
      </c>
      <c r="H73" s="21">
        <v>10</v>
      </c>
      <c r="I73" s="21" t="s">
        <v>32</v>
      </c>
      <c r="J73" s="21" t="s">
        <v>474</v>
      </c>
      <c r="K73" s="20"/>
      <c r="L73" s="20" t="str">
        <f>CONCATENATE(參考!B$1,[資料表詳細]資料表詳細表格[[#This Row],[表名]])</f>
        <v>sys_alarm_history</v>
      </c>
      <c r="M73" s="18" t="str">
        <f>VLOOKUP([資料表詳細]資料表詳細表格[[#This Row],[屬性類型(Postgre)]],選單!$A$3:$B$20,2,FALSE)</f>
        <v>string</v>
      </c>
      <c r="N73" s="20" t="str">
        <f>CONCATENATE(參考!B$2,[資料表詳細]資料表詳細表格[[#This Row],[欄位名稱(英)]])</f>
        <v>location</v>
      </c>
    </row>
    <row r="74" spans="1:14" s="2" customFormat="1">
      <c r="A74" s="74">
        <v>71</v>
      </c>
      <c r="B74" s="22" t="s">
        <v>36</v>
      </c>
      <c r="C74" s="33" t="s">
        <v>491</v>
      </c>
      <c r="D74" s="19">
        <v>4</v>
      </c>
      <c r="E74" s="20" t="s">
        <v>499</v>
      </c>
      <c r="F74" s="20" t="s">
        <v>504</v>
      </c>
      <c r="G74" s="20" t="s">
        <v>5</v>
      </c>
      <c r="H74" s="21"/>
      <c r="I74" s="21" t="s">
        <v>34</v>
      </c>
      <c r="J74" s="21"/>
      <c r="K74" s="20"/>
      <c r="L74" s="20" t="str">
        <f>CONCATENATE(參考!B$1,[資料表詳細]資料表詳細表格[[#This Row],[表名]])</f>
        <v>sys_alarm_history</v>
      </c>
      <c r="M74" s="18" t="str">
        <f>VLOOKUP([資料表詳細]資料表詳細表格[[#This Row],[屬性類型(Postgre)]],選單!$A$3:$B$20,2,FALSE)</f>
        <v>DateTime</v>
      </c>
      <c r="N74" s="20" t="str">
        <f>CONCATENATE(參考!B$2,[資料表詳細]資料表詳細表格[[#This Row],[欄位名稱(英)]])</f>
        <v>release_time</v>
      </c>
    </row>
    <row r="75" spans="1:14" s="2" customFormat="1">
      <c r="A75" s="74">
        <v>72</v>
      </c>
      <c r="B75" s="22" t="s">
        <v>36</v>
      </c>
      <c r="C75" s="33" t="s">
        <v>491</v>
      </c>
      <c r="D75" s="19">
        <v>5</v>
      </c>
      <c r="E75" s="20" t="s">
        <v>500</v>
      </c>
      <c r="F75" s="20" t="s">
        <v>505</v>
      </c>
      <c r="G75" s="20" t="s">
        <v>5</v>
      </c>
      <c r="H75" s="21"/>
      <c r="I75" s="21" t="s">
        <v>34</v>
      </c>
      <c r="J75" s="21"/>
      <c r="K75" s="20"/>
      <c r="L75" s="20" t="str">
        <f>CONCATENATE(參考!B$1,[資料表詳細]資料表詳細表格[[#This Row],[表名]])</f>
        <v>sys_alarm_history</v>
      </c>
      <c r="M75" s="18" t="str">
        <f>VLOOKUP([資料表詳細]資料表詳細表格[[#This Row],[屬性類型(Postgre)]],選單!$A$3:$B$20,2,FALSE)</f>
        <v>DateTime</v>
      </c>
      <c r="N75" s="20" t="str">
        <f>CONCATENATE(參考!B$2,[資料表詳細]資料表詳細表格[[#This Row],[欄位名稱(英)]])</f>
        <v>check_time</v>
      </c>
    </row>
    <row r="76" spans="1:14" s="2" customFormat="1">
      <c r="A76" s="74">
        <v>73</v>
      </c>
      <c r="B76" s="22" t="s">
        <v>36</v>
      </c>
      <c r="C76" s="33" t="s">
        <v>491</v>
      </c>
      <c r="D76" s="19">
        <v>6</v>
      </c>
      <c r="E76" s="20" t="s">
        <v>501</v>
      </c>
      <c r="F76" s="20" t="s">
        <v>506</v>
      </c>
      <c r="G76" s="20" t="s">
        <v>41</v>
      </c>
      <c r="H76" s="21">
        <v>20</v>
      </c>
      <c r="I76" s="21" t="s">
        <v>34</v>
      </c>
      <c r="J76" s="21"/>
      <c r="K76" s="20"/>
      <c r="L76" s="20" t="str">
        <f>CONCATENATE(參考!B$1,[資料表詳細]資料表詳細表格[[#This Row],[表名]])</f>
        <v>sys_alarm_history</v>
      </c>
      <c r="M76" s="18" t="str">
        <f>VLOOKUP([資料表詳細]資料表詳細表格[[#This Row],[屬性類型(Postgre)]],選單!$A$3:$B$20,2,FALSE)</f>
        <v>string</v>
      </c>
      <c r="N76" s="20" t="str">
        <f>CONCATENATE(參考!B$2,[資料表詳細]資料表詳細表格[[#This Row],[欄位名稱(英)]])</f>
        <v>check_user</v>
      </c>
    </row>
    <row r="77" spans="1:14" s="2" customFormat="1">
      <c r="A77" s="74">
        <v>74</v>
      </c>
      <c r="B77" s="22" t="s">
        <v>36</v>
      </c>
      <c r="C77" s="33" t="s">
        <v>491</v>
      </c>
      <c r="D77" s="19">
        <v>7</v>
      </c>
      <c r="E77" s="20" t="s">
        <v>1</v>
      </c>
      <c r="F77" s="20" t="s">
        <v>2</v>
      </c>
      <c r="G77" s="20" t="s">
        <v>41</v>
      </c>
      <c r="H77" s="21">
        <v>20</v>
      </c>
      <c r="I77" s="21" t="s">
        <v>32</v>
      </c>
      <c r="J77" s="21"/>
      <c r="K77" s="20"/>
      <c r="L77" s="20" t="str">
        <f>CONCATENATE(參考!B$1,[資料表詳細]資料表詳細表格[[#This Row],[表名]])</f>
        <v>sys_alarm_history</v>
      </c>
      <c r="M77" s="18" t="str">
        <f>VLOOKUP([資料表詳細]資料表詳細表格[[#This Row],[屬性類型(Postgre)]],選單!$A$3:$B$20,2,FALSE)</f>
        <v>string</v>
      </c>
      <c r="N77" s="20" t="str">
        <f>CONCATENATE(參考!B$2,[資料表詳細]資料表詳細表格[[#This Row],[欄位名稱(英)]])</f>
        <v>ins_user</v>
      </c>
    </row>
    <row r="78" spans="1:14" s="2" customFormat="1">
      <c r="A78" s="74">
        <v>75</v>
      </c>
      <c r="B78" s="22" t="s">
        <v>36</v>
      </c>
      <c r="C78" s="33" t="s">
        <v>491</v>
      </c>
      <c r="D78" s="19">
        <v>8</v>
      </c>
      <c r="E78" s="20" t="s">
        <v>3</v>
      </c>
      <c r="F78" s="20" t="s">
        <v>4</v>
      </c>
      <c r="G78" s="20" t="s">
        <v>5</v>
      </c>
      <c r="H78" s="21"/>
      <c r="I78" s="21" t="s">
        <v>32</v>
      </c>
      <c r="J78" s="21"/>
      <c r="K78" s="20"/>
      <c r="L78" s="20" t="str">
        <f>CONCATENATE(參考!B$1,[資料表詳細]資料表詳細表格[[#This Row],[表名]])</f>
        <v>sys_alarm_history</v>
      </c>
      <c r="M78" s="18" t="str">
        <f>VLOOKUP([資料表詳細]資料表詳細表格[[#This Row],[屬性類型(Postgre)]],選單!$A$3:$B$20,2,FALSE)</f>
        <v>DateTime</v>
      </c>
      <c r="N78" s="20" t="str">
        <f>CONCATENATE(參考!B$2,[資料表詳細]資料表詳細表格[[#This Row],[欄位名稱(英)]])</f>
        <v>ins_time</v>
      </c>
    </row>
    <row r="79" spans="1:14" s="2" customFormat="1">
      <c r="A79" s="74">
        <v>76</v>
      </c>
      <c r="B79" s="22" t="s">
        <v>36</v>
      </c>
      <c r="C79" s="33" t="s">
        <v>491</v>
      </c>
      <c r="D79" s="19">
        <v>9</v>
      </c>
      <c r="E79" s="20" t="s">
        <v>6</v>
      </c>
      <c r="F79" s="20" t="s">
        <v>7</v>
      </c>
      <c r="G79" s="20" t="s">
        <v>41</v>
      </c>
      <c r="H79" s="21">
        <v>20</v>
      </c>
      <c r="I79" s="21" t="s">
        <v>32</v>
      </c>
      <c r="J79" s="21"/>
      <c r="K79" s="20"/>
      <c r="L79" s="20" t="str">
        <f>CONCATENATE(參考!B$1,[資料表詳細]資料表詳細表格[[#This Row],[表名]])</f>
        <v>sys_alarm_history</v>
      </c>
      <c r="M79" s="18" t="str">
        <f>VLOOKUP([資料表詳細]資料表詳細表格[[#This Row],[屬性類型(Postgre)]],選單!$A$3:$B$20,2,FALSE)</f>
        <v>string</v>
      </c>
      <c r="N79" s="20" t="str">
        <f>CONCATENATE(參考!B$2,[資料表詳細]資料表詳細表格[[#This Row],[欄位名稱(英)]])</f>
        <v>upd_user</v>
      </c>
    </row>
    <row r="80" spans="1:14" s="2" customFormat="1">
      <c r="A80" s="74">
        <v>77</v>
      </c>
      <c r="B80" s="22" t="s">
        <v>36</v>
      </c>
      <c r="C80" s="33" t="s">
        <v>491</v>
      </c>
      <c r="D80" s="19">
        <v>10</v>
      </c>
      <c r="E80" s="20" t="s">
        <v>8</v>
      </c>
      <c r="F80" s="20" t="s">
        <v>9</v>
      </c>
      <c r="G80" s="20" t="s">
        <v>5</v>
      </c>
      <c r="H80" s="21"/>
      <c r="I80" s="21" t="s">
        <v>32</v>
      </c>
      <c r="J80" s="21"/>
      <c r="K80" s="20"/>
      <c r="L80" s="20" t="str">
        <f>CONCATENATE(參考!B$1,[資料表詳細]資料表詳細表格[[#This Row],[表名]])</f>
        <v>sys_alarm_history</v>
      </c>
      <c r="M80" s="18" t="str">
        <f>VLOOKUP([資料表詳細]資料表詳細表格[[#This Row],[屬性類型(Postgre)]],選單!$A$3:$B$20,2,FALSE)</f>
        <v>DateTime</v>
      </c>
      <c r="N80" s="20" t="str">
        <f>CONCATENATE(參考!B$2,[資料表詳細]資料表詳細表格[[#This Row],[欄位名稱(英)]])</f>
        <v>upd_time</v>
      </c>
    </row>
    <row r="81" spans="1:14" s="2" customFormat="1">
      <c r="A81" s="74">
        <v>78</v>
      </c>
      <c r="B81" s="22" t="s">
        <v>36</v>
      </c>
      <c r="C81" s="18" t="s">
        <v>909</v>
      </c>
      <c r="D81" s="19">
        <v>1</v>
      </c>
      <c r="E81" s="20" t="s">
        <v>911</v>
      </c>
      <c r="F81" s="20" t="s">
        <v>800</v>
      </c>
      <c r="G81" s="20" t="s">
        <v>41</v>
      </c>
      <c r="H81" s="21">
        <v>20</v>
      </c>
      <c r="I81" s="21" t="s">
        <v>32</v>
      </c>
      <c r="J81" s="21" t="s">
        <v>27</v>
      </c>
      <c r="K81" s="20"/>
      <c r="L81" s="20" t="str">
        <f>CONCATENATE(參考!B$1,[資料表詳細]資料表詳細表格[[#This Row],[表名]])</f>
        <v>sys_region</v>
      </c>
      <c r="M81" s="18" t="str">
        <f>VLOOKUP([資料表詳細]資料表詳細表格[[#This Row],[屬性類型(Postgre)]],選單!$A$3:$B$20,2,FALSE)</f>
        <v>string</v>
      </c>
      <c r="N81" s="20" t="str">
        <f>CONCATENATE(參考!B$2,[資料表詳細]資料表詳細表格[[#This Row],[欄位名稱(英)]])</f>
        <v>region_id</v>
      </c>
    </row>
    <row r="82" spans="1:14" s="2" customFormat="1">
      <c r="A82" s="74">
        <v>79</v>
      </c>
      <c r="B82" s="22" t="s">
        <v>36</v>
      </c>
      <c r="C82" s="33" t="s">
        <v>914</v>
      </c>
      <c r="D82" s="19">
        <v>2</v>
      </c>
      <c r="E82" s="20" t="s">
        <v>912</v>
      </c>
      <c r="F82" s="20" t="s">
        <v>781</v>
      </c>
      <c r="G82" s="20" t="s">
        <v>41</v>
      </c>
      <c r="H82" s="21">
        <v>20</v>
      </c>
      <c r="I82" s="21" t="s">
        <v>32</v>
      </c>
      <c r="J82" s="21"/>
      <c r="K82" s="20"/>
      <c r="L82" s="20" t="str">
        <f>CONCATENATE(參考!B$1,[資料表詳細]資料表詳細表格[[#This Row],[表名]])</f>
        <v>sys_region</v>
      </c>
      <c r="M82" s="18" t="str">
        <f>VLOOKUP([資料表詳細]資料表詳細表格[[#This Row],[屬性類型(Postgre)]],選單!$A$3:$B$20,2,FALSE)</f>
        <v>string</v>
      </c>
      <c r="N82" s="20" t="str">
        <f>CONCATENATE(參考!B$2,[資料表詳細]資料表詳細表格[[#This Row],[欄位名稱(英)]])</f>
        <v>region_name</v>
      </c>
    </row>
    <row r="83" spans="1:14" s="2" customFormat="1">
      <c r="A83" s="74">
        <v>80</v>
      </c>
      <c r="B83" s="22" t="s">
        <v>36</v>
      </c>
      <c r="C83" s="33" t="s">
        <v>914</v>
      </c>
      <c r="D83" s="19">
        <v>3</v>
      </c>
      <c r="E83" s="20" t="s">
        <v>919</v>
      </c>
      <c r="F83" s="20" t="s">
        <v>915</v>
      </c>
      <c r="G83" s="20" t="s">
        <v>14</v>
      </c>
      <c r="H83" s="21"/>
      <c r="I83" s="21" t="s">
        <v>34</v>
      </c>
      <c r="J83" s="21"/>
      <c r="K83" s="20"/>
      <c r="L83" s="20" t="str">
        <f>CONCATENATE(參考!B$1,[資料表詳細]資料表詳細表格[[#This Row],[表名]])</f>
        <v>sys_region</v>
      </c>
      <c r="M83" s="18" t="str">
        <f>VLOOKUP([資料表詳細]資料表詳細表格[[#This Row],[屬性類型(Postgre)]],選單!$A$3:$B$20,2,FALSE)</f>
        <v>string</v>
      </c>
      <c r="N83" s="20" t="str">
        <f>CONCATENATE(參考!B$2,[資料表詳細]資料表詳細表格[[#This Row],[欄位名稱(英)]])</f>
        <v>remark</v>
      </c>
    </row>
    <row r="84" spans="1:14" s="2" customFormat="1">
      <c r="A84" s="74">
        <v>81</v>
      </c>
      <c r="B84" s="22" t="s">
        <v>36</v>
      </c>
      <c r="C84" s="33" t="s">
        <v>914</v>
      </c>
      <c r="D84" s="19">
        <v>4</v>
      </c>
      <c r="E84" s="20" t="s">
        <v>1</v>
      </c>
      <c r="F84" s="20" t="s">
        <v>2</v>
      </c>
      <c r="G84" s="20" t="s">
        <v>41</v>
      </c>
      <c r="H84" s="21">
        <v>20</v>
      </c>
      <c r="I84" s="21" t="s">
        <v>32</v>
      </c>
      <c r="J84" s="21"/>
      <c r="K84" s="20"/>
      <c r="L84" s="20" t="str">
        <f>CONCATENATE(參考!B$1,[資料表詳細]資料表詳細表格[[#This Row],[表名]])</f>
        <v>sys_region</v>
      </c>
      <c r="M84" s="18" t="str">
        <f>VLOOKUP([資料表詳細]資料表詳細表格[[#This Row],[屬性類型(Postgre)]],選單!$A$3:$B$20,2,FALSE)</f>
        <v>string</v>
      </c>
      <c r="N84" s="20" t="str">
        <f>CONCATENATE(參考!B$2,[資料表詳細]資料表詳細表格[[#This Row],[欄位名稱(英)]])</f>
        <v>ins_user</v>
      </c>
    </row>
    <row r="85" spans="1:14" s="2" customFormat="1">
      <c r="A85" s="74">
        <v>82</v>
      </c>
      <c r="B85" s="22" t="s">
        <v>36</v>
      </c>
      <c r="C85" s="33" t="s">
        <v>914</v>
      </c>
      <c r="D85" s="19">
        <v>5</v>
      </c>
      <c r="E85" s="20" t="s">
        <v>3</v>
      </c>
      <c r="F85" s="20" t="s">
        <v>4</v>
      </c>
      <c r="G85" s="20" t="s">
        <v>5</v>
      </c>
      <c r="H85" s="21"/>
      <c r="I85" s="21" t="s">
        <v>32</v>
      </c>
      <c r="J85" s="21"/>
      <c r="K85" s="20"/>
      <c r="L85" s="20" t="str">
        <f>CONCATENATE(參考!B$1,[資料表詳細]資料表詳細表格[[#This Row],[表名]])</f>
        <v>sys_region</v>
      </c>
      <c r="M85" s="18" t="str">
        <f>VLOOKUP([資料表詳細]資料表詳細表格[[#This Row],[屬性類型(Postgre)]],選單!$A$3:$B$20,2,FALSE)</f>
        <v>DateTime</v>
      </c>
      <c r="N85" s="20" t="str">
        <f>CONCATENATE(參考!B$2,[資料表詳細]資料表詳細表格[[#This Row],[欄位名稱(英)]])</f>
        <v>ins_time</v>
      </c>
    </row>
    <row r="86" spans="1:14" s="2" customFormat="1">
      <c r="A86" s="74">
        <v>83</v>
      </c>
      <c r="B86" s="22" t="s">
        <v>36</v>
      </c>
      <c r="C86" s="33" t="s">
        <v>914</v>
      </c>
      <c r="D86" s="19">
        <v>6</v>
      </c>
      <c r="E86" s="20" t="s">
        <v>6</v>
      </c>
      <c r="F86" s="20" t="s">
        <v>7</v>
      </c>
      <c r="G86" s="20" t="s">
        <v>41</v>
      </c>
      <c r="H86" s="21">
        <v>20</v>
      </c>
      <c r="I86" s="21" t="s">
        <v>32</v>
      </c>
      <c r="J86" s="21"/>
      <c r="K86" s="20"/>
      <c r="L86" s="20" t="str">
        <f>CONCATENATE(參考!B$1,[資料表詳細]資料表詳細表格[[#This Row],[表名]])</f>
        <v>sys_region</v>
      </c>
      <c r="M86" s="18" t="str">
        <f>VLOOKUP([資料表詳細]資料表詳細表格[[#This Row],[屬性類型(Postgre)]],選單!$A$3:$B$20,2,FALSE)</f>
        <v>string</v>
      </c>
      <c r="N86" s="20" t="str">
        <f>CONCATENATE(參考!B$2,[資料表詳細]資料表詳細表格[[#This Row],[欄位名稱(英)]])</f>
        <v>upd_user</v>
      </c>
    </row>
    <row r="87" spans="1:14" s="2" customFormat="1">
      <c r="A87" s="74">
        <v>84</v>
      </c>
      <c r="B87" s="22" t="s">
        <v>36</v>
      </c>
      <c r="C87" s="33" t="s">
        <v>914</v>
      </c>
      <c r="D87" s="19">
        <v>7</v>
      </c>
      <c r="E87" s="20" t="s">
        <v>8</v>
      </c>
      <c r="F87" s="20" t="s">
        <v>9</v>
      </c>
      <c r="G87" s="20" t="s">
        <v>5</v>
      </c>
      <c r="H87" s="21"/>
      <c r="I87" s="21" t="s">
        <v>32</v>
      </c>
      <c r="J87" s="21"/>
      <c r="K87" s="20"/>
      <c r="L87" s="20" t="str">
        <f>CONCATENATE(參考!B$1,[資料表詳細]資料表詳細表格[[#This Row],[表名]])</f>
        <v>sys_region</v>
      </c>
      <c r="M87" s="18" t="str">
        <f>VLOOKUP([資料表詳細]資料表詳細表格[[#This Row],[屬性類型(Postgre)]],選單!$A$3:$B$20,2,FALSE)</f>
        <v>DateTime</v>
      </c>
      <c r="N87" s="20" t="str">
        <f>CONCATENATE(參考!B$2,[資料表詳細]資料表詳細表格[[#This Row],[欄位名稱(英)]])</f>
        <v>upd_time</v>
      </c>
    </row>
    <row r="88" spans="1:14" s="2" customFormat="1">
      <c r="A88" s="74">
        <v>85</v>
      </c>
      <c r="B88" s="22" t="s">
        <v>36</v>
      </c>
      <c r="C88" s="18" t="s">
        <v>957</v>
      </c>
      <c r="D88" s="19">
        <v>1</v>
      </c>
      <c r="E88" s="20" t="s">
        <v>907</v>
      </c>
      <c r="F88" s="20" t="s">
        <v>917</v>
      </c>
      <c r="G88" s="20" t="s">
        <v>41</v>
      </c>
      <c r="H88" s="21">
        <v>20</v>
      </c>
      <c r="I88" s="21" t="s">
        <v>32</v>
      </c>
      <c r="J88" s="21" t="s">
        <v>918</v>
      </c>
      <c r="K88" s="20"/>
      <c r="L88" s="20" t="str">
        <f>CONCATENATE(參考!B$1,[資料表詳細]資料表詳細表格[[#This Row],[表名]])</f>
        <v>sys_equip_status</v>
      </c>
      <c r="M88" s="18" t="str">
        <f>VLOOKUP([資料表詳細]資料表詳細表格[[#This Row],[屬性類型(Postgre)]],選單!$A$3:$B$20,2,FALSE)</f>
        <v>string</v>
      </c>
      <c r="N88" s="20" t="str">
        <f>CONCATENATE(參考!B$2,[資料表詳細]資料表詳細表格[[#This Row],[欄位名稱(英)]])</f>
        <v>equip_id</v>
      </c>
    </row>
    <row r="89" spans="1:14" s="2" customFormat="1">
      <c r="A89" s="74">
        <v>86</v>
      </c>
      <c r="B89" s="22" t="s">
        <v>36</v>
      </c>
      <c r="C89" s="54" t="s">
        <v>956</v>
      </c>
      <c r="D89" s="19">
        <v>2</v>
      </c>
      <c r="E89" s="132" t="s">
        <v>939</v>
      </c>
      <c r="F89" s="132" t="s">
        <v>938</v>
      </c>
      <c r="G89" s="132" t="s">
        <v>41</v>
      </c>
      <c r="H89" s="131">
        <v>20</v>
      </c>
      <c r="I89" s="131" t="s">
        <v>32</v>
      </c>
      <c r="J89" s="21"/>
      <c r="K89" s="20"/>
      <c r="L89" s="20" t="str">
        <f>CONCATENATE(參考!B$1,[資料表詳細]資料表詳細表格[[#This Row],[表名]])</f>
        <v>sys_equip_status</v>
      </c>
      <c r="M89" s="18" t="str">
        <f>VLOOKUP([資料表詳細]資料表詳細表格[[#This Row],[屬性類型(Postgre)]],選單!$A$3:$B$20,2,FALSE)</f>
        <v>string</v>
      </c>
      <c r="N89" s="20" t="str">
        <f>CONCATENATE(參考!B$2,[資料表詳細]資料表詳細表格[[#This Row],[欄位名稱(英)]])</f>
        <v>equip_type</v>
      </c>
    </row>
    <row r="90" spans="1:14" s="2" customFormat="1">
      <c r="A90" s="74">
        <v>87</v>
      </c>
      <c r="B90" s="22" t="s">
        <v>36</v>
      </c>
      <c r="C90" s="54" t="s">
        <v>956</v>
      </c>
      <c r="D90" s="19">
        <v>3</v>
      </c>
      <c r="E90" s="20" t="s">
        <v>934</v>
      </c>
      <c r="F90" s="20" t="s">
        <v>935</v>
      </c>
      <c r="G90" s="20" t="s">
        <v>41</v>
      </c>
      <c r="H90" s="21">
        <v>20</v>
      </c>
      <c r="I90" s="21" t="s">
        <v>32</v>
      </c>
      <c r="J90" s="21"/>
      <c r="K90" s="20"/>
      <c r="L90" s="20" t="str">
        <f>CONCATENATE(參考!B$1,[資料表詳細]資料表詳細表格[[#This Row],[表名]])</f>
        <v>sys_equip_status</v>
      </c>
      <c r="M90" s="18" t="str">
        <f>VLOOKUP([資料表詳細]資料表詳細表格[[#This Row],[屬性類型(Postgre)]],選單!$A$3:$B$20,2,FALSE)</f>
        <v>string</v>
      </c>
      <c r="N90" s="20" t="str">
        <f>CONCATENATE(參考!B$2,[資料表詳細]資料表詳細表格[[#This Row],[欄位名稱(英)]])</f>
        <v>region_id</v>
      </c>
    </row>
    <row r="91" spans="1:14" s="2" customFormat="1">
      <c r="A91" s="74">
        <v>88</v>
      </c>
      <c r="B91" s="22" t="s">
        <v>36</v>
      </c>
      <c r="C91" s="54" t="s">
        <v>956</v>
      </c>
      <c r="D91" s="19">
        <v>4</v>
      </c>
      <c r="E91" s="20" t="s">
        <v>779</v>
      </c>
      <c r="F91" s="20" t="s">
        <v>930</v>
      </c>
      <c r="G91" s="20" t="s">
        <v>41</v>
      </c>
      <c r="H91" s="21">
        <v>20</v>
      </c>
      <c r="I91" s="21" t="s">
        <v>32</v>
      </c>
      <c r="J91" s="21"/>
      <c r="K91" s="20"/>
      <c r="L91" s="20" t="str">
        <f>CONCATENATE(參考!B$1,[資料表詳細]資料表詳細表格[[#This Row],[表名]])</f>
        <v>sys_equip_status</v>
      </c>
      <c r="M91" s="18" t="str">
        <f>VLOOKUP([資料表詳細]資料表詳細表格[[#This Row],[屬性類型(Postgre)]],選單!$A$3:$B$20,2,FALSE)</f>
        <v>string</v>
      </c>
      <c r="N91" s="20" t="str">
        <f>CONCATENATE(參考!B$2,[資料表詳細]資料表詳細表格[[#This Row],[欄位名稱(英)]])</f>
        <v>region_name</v>
      </c>
    </row>
    <row r="92" spans="1:14" s="2" customFormat="1">
      <c r="A92" s="74">
        <v>89</v>
      </c>
      <c r="B92" s="22" t="s">
        <v>36</v>
      </c>
      <c r="C92" s="54" t="s">
        <v>956</v>
      </c>
      <c r="D92" s="19">
        <v>5</v>
      </c>
      <c r="E92" s="20" t="s">
        <v>780</v>
      </c>
      <c r="F92" s="20" t="s">
        <v>931</v>
      </c>
      <c r="G92" s="20" t="s">
        <v>41</v>
      </c>
      <c r="H92" s="21">
        <v>20</v>
      </c>
      <c r="I92" s="21" t="s">
        <v>32</v>
      </c>
      <c r="J92" s="21"/>
      <c r="K92" s="20"/>
      <c r="L92" s="20" t="str">
        <f>CONCATENATE(參考!B$1,[資料表詳細]資料表詳細表格[[#This Row],[表名]])</f>
        <v>sys_equip_status</v>
      </c>
      <c r="M92" s="18" t="str">
        <f>VLOOKUP([資料表詳細]資料表詳細表格[[#This Row],[屬性類型(Postgre)]],選單!$A$3:$B$20,2,FALSE)</f>
        <v>string</v>
      </c>
      <c r="N92" s="20" t="str">
        <f>CONCATENATE(參考!B$2,[資料表詳細]資料表詳細表格[[#This Row],[欄位名稱(英)]])</f>
        <v>place_name</v>
      </c>
    </row>
    <row r="93" spans="1:14" s="2" customFormat="1">
      <c r="A93" s="74">
        <v>90</v>
      </c>
      <c r="B93" s="22" t="s">
        <v>36</v>
      </c>
      <c r="C93" s="54" t="s">
        <v>956</v>
      </c>
      <c r="D93" s="19">
        <v>6</v>
      </c>
      <c r="E93" s="20" t="s">
        <v>218</v>
      </c>
      <c r="F93" s="20" t="s">
        <v>913</v>
      </c>
      <c r="G93" s="20" t="s">
        <v>41</v>
      </c>
      <c r="H93" s="21">
        <v>20</v>
      </c>
      <c r="I93" s="21" t="s">
        <v>32</v>
      </c>
      <c r="J93" s="21"/>
      <c r="K93" s="20"/>
      <c r="L93" s="20" t="str">
        <f>CONCATENATE(參考!B$1,[資料表詳細]資料表詳細表格[[#This Row],[表名]])</f>
        <v>sys_equip_status</v>
      </c>
      <c r="M93" s="18" t="str">
        <f>VLOOKUP([資料表詳細]資料表詳細表格[[#This Row],[屬性類型(Postgre)]],選單!$A$3:$B$20,2,FALSE)</f>
        <v>string</v>
      </c>
      <c r="N93" s="20" t="str">
        <f>CONCATENATE(參考!B$2,[資料表詳細]資料表詳細表格[[#This Row],[欄位名稱(英)]])</f>
        <v>area_name</v>
      </c>
    </row>
    <row r="94" spans="1:14" s="2" customFormat="1">
      <c r="A94" s="74">
        <v>91</v>
      </c>
      <c r="B94" s="22" t="s">
        <v>36</v>
      </c>
      <c r="C94" s="54" t="s">
        <v>956</v>
      </c>
      <c r="D94" s="19">
        <v>7</v>
      </c>
      <c r="E94" s="20" t="s">
        <v>908</v>
      </c>
      <c r="F94" s="20" t="s">
        <v>933</v>
      </c>
      <c r="G94" s="20" t="s">
        <v>41</v>
      </c>
      <c r="H94" s="21">
        <v>20</v>
      </c>
      <c r="I94" s="21" t="s">
        <v>32</v>
      </c>
      <c r="J94" s="21"/>
      <c r="K94" s="20"/>
      <c r="L94" s="20" t="str">
        <f>CONCATENATE(參考!B$1,[資料表詳細]資料表詳細表格[[#This Row],[表名]])</f>
        <v>sys_equip_status</v>
      </c>
      <c r="M94" s="18" t="str">
        <f>VLOOKUP([資料表詳細]資料表詳細表格[[#This Row],[屬性類型(Postgre)]],選單!$A$3:$B$20,2,FALSE)</f>
        <v>string</v>
      </c>
      <c r="N94" s="20" t="str">
        <f>CONCATENATE(參考!B$2,[資料表詳細]資料表詳細表格[[#This Row],[欄位名稱(英)]])</f>
        <v>system_id</v>
      </c>
    </row>
    <row r="95" spans="1:14" s="2" customFormat="1">
      <c r="A95" s="74">
        <v>92</v>
      </c>
      <c r="B95" s="22" t="s">
        <v>36</v>
      </c>
      <c r="C95" s="54" t="s">
        <v>956</v>
      </c>
      <c r="D95" s="19">
        <v>8</v>
      </c>
      <c r="E95" s="20" t="s">
        <v>937</v>
      </c>
      <c r="F95" s="20" t="s">
        <v>936</v>
      </c>
      <c r="G95" s="20" t="s">
        <v>41</v>
      </c>
      <c r="H95" s="21">
        <v>20</v>
      </c>
      <c r="I95" s="21" t="s">
        <v>32</v>
      </c>
      <c r="J95" s="21"/>
      <c r="K95" s="20"/>
      <c r="L95" s="20" t="str">
        <f>CONCATENATE(參考!B$1,[資料表詳細]資料表詳細表格[[#This Row],[表名]])</f>
        <v>sys_equip_status</v>
      </c>
      <c r="M95" s="18" t="str">
        <f>VLOOKUP([資料表詳細]資料表詳細表格[[#This Row],[屬性類型(Postgre)]],選單!$A$3:$B$20,2,FALSE)</f>
        <v>string</v>
      </c>
      <c r="N95" s="20" t="str">
        <f>CONCATENATE(參考!B$2,[資料表詳細]資料表詳細表格[[#This Row],[欄位名稱(英)]])</f>
        <v>system_name</v>
      </c>
    </row>
    <row r="96" spans="1:14" s="2" customFormat="1">
      <c r="A96" s="74">
        <v>93</v>
      </c>
      <c r="B96" s="22" t="s">
        <v>36</v>
      </c>
      <c r="C96" s="54" t="s">
        <v>956</v>
      </c>
      <c r="D96" s="19">
        <v>9</v>
      </c>
      <c r="E96" s="20" t="s">
        <v>960</v>
      </c>
      <c r="F96" s="20" t="s">
        <v>961</v>
      </c>
      <c r="G96" s="20" t="s">
        <v>100</v>
      </c>
      <c r="H96" s="21"/>
      <c r="I96" s="21" t="s">
        <v>962</v>
      </c>
      <c r="J96" s="21"/>
      <c r="K96" s="20"/>
      <c r="L96" s="20" t="str">
        <f>CONCATENATE(參考!B$1,[資料表詳細]資料表詳細表格[[#This Row],[表名]])</f>
        <v>sys_equip_status</v>
      </c>
      <c r="M96" s="18" t="str">
        <f>VLOOKUP([資料表詳細]資料表詳細表格[[#This Row],[屬性類型(Postgre)]],選單!$A$3:$B$20,2,FALSE)</f>
        <v>bool</v>
      </c>
      <c r="N96" s="20" t="str">
        <f>CONCATENATE(參考!B$2,[資料表詳細]資料表詳細表格[[#This Row],[欄位名稱(英)]])</f>
        <v>equip_status</v>
      </c>
    </row>
    <row r="97" spans="1:14" s="2" customFormat="1">
      <c r="A97" s="22"/>
      <c r="B97" s="22" t="s">
        <v>36</v>
      </c>
      <c r="C97" s="54" t="s">
        <v>956</v>
      </c>
      <c r="D97" s="19">
        <v>10</v>
      </c>
      <c r="E97" s="20" t="s">
        <v>991</v>
      </c>
      <c r="F97" s="20" t="s">
        <v>992</v>
      </c>
      <c r="G97" s="20" t="s">
        <v>100</v>
      </c>
      <c r="H97" s="21"/>
      <c r="I97" s="21" t="s">
        <v>32</v>
      </c>
      <c r="J97" s="21"/>
      <c r="K97" s="20"/>
      <c r="L97" s="20" t="str">
        <f>CONCATENATE(參考!B$1,[資料表詳細]資料表詳細表格[[#This Row],[表名]])</f>
        <v>sys_equip_status</v>
      </c>
      <c r="M97" s="18" t="str">
        <f>VLOOKUP([資料表詳細]資料表詳細表格[[#This Row],[屬性類型(Postgre)]],選單!$A$3:$B$20,2,FALSE)</f>
        <v>bool</v>
      </c>
      <c r="N97" s="20" t="str">
        <f>CONCATENATE(參考!B$2,[資料表詳細]資料表詳細表格[[#This Row],[欄位名稱(英)]])</f>
        <v>is_overview</v>
      </c>
    </row>
    <row r="98" spans="1:14" s="2" customFormat="1">
      <c r="A98" s="74">
        <v>93</v>
      </c>
      <c r="B98" s="22" t="s">
        <v>36</v>
      </c>
      <c r="C98" s="54" t="s">
        <v>956</v>
      </c>
      <c r="D98" s="19">
        <v>9</v>
      </c>
      <c r="E98" s="20" t="s">
        <v>24</v>
      </c>
      <c r="F98" s="20" t="s">
        <v>20</v>
      </c>
      <c r="G98" s="20" t="s">
        <v>14</v>
      </c>
      <c r="H98" s="21"/>
      <c r="I98" s="21" t="s">
        <v>34</v>
      </c>
      <c r="J98" s="21"/>
      <c r="K98" s="20"/>
      <c r="L98" s="20" t="str">
        <f>CONCATENATE(參考!B$1,[資料表詳細]資料表詳細表格[[#This Row],[表名]])</f>
        <v>sys_equip_status</v>
      </c>
      <c r="M98" s="18" t="str">
        <f>VLOOKUP([資料表詳細]資料表詳細表格[[#This Row],[屬性類型(Postgre)]],選單!$A$3:$B$20,2,FALSE)</f>
        <v>string</v>
      </c>
      <c r="N98" s="20" t="str">
        <f>CONCATENATE(參考!B$2,[資料表詳細]資料表詳細表格[[#This Row],[欄位名稱(英)]])</f>
        <v>remark</v>
      </c>
    </row>
    <row r="99" spans="1:14" s="2" customFormat="1">
      <c r="A99" s="74">
        <v>94</v>
      </c>
      <c r="B99" s="22" t="s">
        <v>36</v>
      </c>
      <c r="C99" s="54" t="s">
        <v>956</v>
      </c>
      <c r="D99" s="19">
        <v>10</v>
      </c>
      <c r="E99" s="20" t="s">
        <v>1</v>
      </c>
      <c r="F99" s="20" t="s">
        <v>2</v>
      </c>
      <c r="G99" s="20" t="s">
        <v>41</v>
      </c>
      <c r="H99" s="21">
        <v>20</v>
      </c>
      <c r="I99" s="21" t="s">
        <v>32</v>
      </c>
      <c r="J99" s="21"/>
      <c r="K99" s="20"/>
      <c r="L99" s="20" t="str">
        <f>CONCATENATE(參考!B$1,[資料表詳細]資料表詳細表格[[#This Row],[表名]])</f>
        <v>sys_equip_status</v>
      </c>
      <c r="M99" s="18" t="str">
        <f>VLOOKUP([資料表詳細]資料表詳細表格[[#This Row],[屬性類型(Postgre)]],選單!$A$3:$B$20,2,FALSE)</f>
        <v>string</v>
      </c>
      <c r="N99" s="20" t="str">
        <f>CONCATENATE(參考!B$2,[資料表詳細]資料表詳細表格[[#This Row],[欄位名稱(英)]])</f>
        <v>ins_user</v>
      </c>
    </row>
    <row r="100" spans="1:14" s="2" customFormat="1">
      <c r="A100" s="74">
        <v>95</v>
      </c>
      <c r="B100" s="22" t="s">
        <v>36</v>
      </c>
      <c r="C100" s="54" t="s">
        <v>956</v>
      </c>
      <c r="D100" s="19">
        <v>11</v>
      </c>
      <c r="E100" s="20" t="s">
        <v>3</v>
      </c>
      <c r="F100" s="20" t="s">
        <v>4</v>
      </c>
      <c r="G100" s="20" t="s">
        <v>5</v>
      </c>
      <c r="H100" s="21"/>
      <c r="I100" s="21" t="s">
        <v>32</v>
      </c>
      <c r="J100" s="21"/>
      <c r="K100" s="20"/>
      <c r="L100" s="20" t="str">
        <f>CONCATENATE(參考!B$1,[資料表詳細]資料表詳細表格[[#This Row],[表名]])</f>
        <v>sys_equip_status</v>
      </c>
      <c r="M100" s="18" t="str">
        <f>VLOOKUP([資料表詳細]資料表詳細表格[[#This Row],[屬性類型(Postgre)]],選單!$A$3:$B$20,2,FALSE)</f>
        <v>DateTime</v>
      </c>
      <c r="N100" s="20" t="str">
        <f>CONCATENATE(參考!B$2,[資料表詳細]資料表詳細表格[[#This Row],[欄位名稱(英)]])</f>
        <v>ins_time</v>
      </c>
    </row>
    <row r="101" spans="1:14" s="2" customFormat="1">
      <c r="A101" s="74">
        <v>96</v>
      </c>
      <c r="B101" s="22" t="s">
        <v>36</v>
      </c>
      <c r="C101" s="54" t="s">
        <v>956</v>
      </c>
      <c r="D101" s="19">
        <v>12</v>
      </c>
      <c r="E101" s="20" t="s">
        <v>6</v>
      </c>
      <c r="F101" s="20" t="s">
        <v>7</v>
      </c>
      <c r="G101" s="20" t="s">
        <v>41</v>
      </c>
      <c r="H101" s="21">
        <v>20</v>
      </c>
      <c r="I101" s="21" t="s">
        <v>32</v>
      </c>
      <c r="J101" s="21"/>
      <c r="K101" s="20"/>
      <c r="L101" s="20" t="str">
        <f>CONCATENATE(參考!B$1,[資料表詳細]資料表詳細表格[[#This Row],[表名]])</f>
        <v>sys_equip_status</v>
      </c>
      <c r="M101" s="18" t="str">
        <f>VLOOKUP([資料表詳細]資料表詳細表格[[#This Row],[屬性類型(Postgre)]],選單!$A$3:$B$20,2,FALSE)</f>
        <v>string</v>
      </c>
      <c r="N101" s="20" t="str">
        <f>CONCATENATE(參考!B$2,[資料表詳細]資料表詳細表格[[#This Row],[欄位名稱(英)]])</f>
        <v>upd_user</v>
      </c>
    </row>
    <row r="102" spans="1:14" s="2" customFormat="1">
      <c r="A102" s="74">
        <v>97</v>
      </c>
      <c r="B102" s="22" t="s">
        <v>36</v>
      </c>
      <c r="C102" s="54" t="s">
        <v>956</v>
      </c>
      <c r="D102" s="19">
        <v>13</v>
      </c>
      <c r="E102" s="20" t="s">
        <v>8</v>
      </c>
      <c r="F102" s="20" t="s">
        <v>9</v>
      </c>
      <c r="G102" s="20" t="s">
        <v>5</v>
      </c>
      <c r="H102" s="21"/>
      <c r="I102" s="21" t="s">
        <v>32</v>
      </c>
      <c r="J102" s="21"/>
      <c r="K102" s="20"/>
      <c r="L102" s="20" t="str">
        <f>CONCATENATE(參考!B$1,[資料表詳細]資料表詳細表格[[#This Row],[表名]])</f>
        <v>sys_equip_status</v>
      </c>
      <c r="M102" s="18" t="str">
        <f>VLOOKUP([資料表詳細]資料表詳細表格[[#This Row],[屬性類型(Postgre)]],選單!$A$3:$B$20,2,FALSE)</f>
        <v>DateTime</v>
      </c>
      <c r="N102" s="20" t="str">
        <f>CONCATENATE(參考!B$2,[資料表詳細]資料表詳細表格[[#This Row],[欄位名稱(英)]])</f>
        <v>upd_time</v>
      </c>
    </row>
    <row r="103" spans="1:14" s="2" customFormat="1">
      <c r="A103" s="74">
        <v>98</v>
      </c>
      <c r="B103" s="22" t="s">
        <v>36</v>
      </c>
      <c r="C103" s="18" t="s">
        <v>814</v>
      </c>
      <c r="D103" s="19">
        <v>1</v>
      </c>
      <c r="E103" s="20" t="s">
        <v>866</v>
      </c>
      <c r="F103" s="20" t="s">
        <v>819</v>
      </c>
      <c r="G103" s="20" t="s">
        <v>41</v>
      </c>
      <c r="H103" s="21">
        <v>20</v>
      </c>
      <c r="I103" s="21" t="s">
        <v>32</v>
      </c>
      <c r="J103" s="21" t="s">
        <v>27</v>
      </c>
      <c r="K103" s="20"/>
      <c r="L103" s="20" t="str">
        <f>CONCATENATE(參考!B$1,[資料表詳細]資料表詳細表格[[#This Row],[表名]])</f>
        <v>sys_seat</v>
      </c>
      <c r="M103" s="18" t="str">
        <f>VLOOKUP([資料表詳細]資料表詳細表格[[#This Row],[屬性類型(Postgre)]],選單!$A$3:$B$20,2,FALSE)</f>
        <v>string</v>
      </c>
      <c r="N103" s="20" t="str">
        <f>CONCATENATE(參考!B$2,[資料表詳細]資料表詳細表格[[#This Row],[欄位名稱(英)]])</f>
        <v>seat_id</v>
      </c>
    </row>
    <row r="104" spans="1:14" s="2" customFormat="1">
      <c r="A104" s="74">
        <v>99</v>
      </c>
      <c r="B104" s="22" t="s">
        <v>36</v>
      </c>
      <c r="C104" s="54" t="s">
        <v>814</v>
      </c>
      <c r="D104" s="19">
        <v>2</v>
      </c>
      <c r="E104" s="20" t="s">
        <v>989</v>
      </c>
      <c r="F104" s="20" t="s">
        <v>990</v>
      </c>
      <c r="G104" s="20" t="s">
        <v>130</v>
      </c>
      <c r="H104" s="21"/>
      <c r="I104" s="21" t="s">
        <v>32</v>
      </c>
      <c r="J104" s="21"/>
      <c r="K104" s="20"/>
      <c r="L104" s="20" t="str">
        <f>CONCATENATE(參考!B$1,[資料表詳細]資料表詳細表格[[#This Row],[表名]])</f>
        <v>sys_seat</v>
      </c>
      <c r="M104" s="18" t="str">
        <f>VLOOKUP([資料表詳細]資料表詳細表格[[#This Row],[屬性類型(Postgre)]],選單!$A$3:$B$20,2,FALSE)</f>
        <v>int</v>
      </c>
      <c r="N104" s="20" t="str">
        <f>CONCATENATE(參考!B$2,[資料表詳細]資料表詳細表格[[#This Row],[欄位名稱(英)]])</f>
        <v>pa_seat_id</v>
      </c>
    </row>
    <row r="105" spans="1:14" s="2" customFormat="1">
      <c r="A105" s="74">
        <v>100</v>
      </c>
      <c r="B105" s="22" t="s">
        <v>36</v>
      </c>
      <c r="C105" s="54" t="s">
        <v>814</v>
      </c>
      <c r="D105" s="19">
        <v>3</v>
      </c>
      <c r="E105" s="20" t="s">
        <v>817</v>
      </c>
      <c r="F105" s="20" t="s">
        <v>820</v>
      </c>
      <c r="G105" s="20" t="s">
        <v>41</v>
      </c>
      <c r="H105" s="21">
        <v>20</v>
      </c>
      <c r="I105" s="21" t="s">
        <v>32</v>
      </c>
      <c r="J105" s="21"/>
      <c r="K105" s="20"/>
      <c r="L105" s="20" t="str">
        <f>CONCATENATE(參考!B$1,[資料表詳細]資料表詳細表格[[#This Row],[表名]])</f>
        <v>sys_seat</v>
      </c>
      <c r="M105" s="18" t="str">
        <f>VLOOKUP([資料表詳細]資料表詳細表格[[#This Row],[屬性類型(Postgre)]],選單!$A$3:$B$20,2,FALSE)</f>
        <v>string</v>
      </c>
      <c r="N105" s="20" t="str">
        <f>CONCATENATE(參考!B$2,[資料表詳細]資料表詳細表格[[#This Row],[欄位名稱(英)]])</f>
        <v>seat_name</v>
      </c>
    </row>
    <row r="106" spans="1:14" s="2" customFormat="1">
      <c r="A106" s="74">
        <v>101</v>
      </c>
      <c r="B106" s="22" t="s">
        <v>36</v>
      </c>
      <c r="C106" s="54" t="s">
        <v>814</v>
      </c>
      <c r="D106" s="19">
        <v>4</v>
      </c>
      <c r="E106" s="20" t="s">
        <v>822</v>
      </c>
      <c r="F106" s="20" t="s">
        <v>821</v>
      </c>
      <c r="G106" s="20" t="s">
        <v>41</v>
      </c>
      <c r="H106" s="21">
        <v>20</v>
      </c>
      <c r="I106" s="21" t="s">
        <v>32</v>
      </c>
      <c r="J106" s="21"/>
      <c r="K106" s="20"/>
      <c r="L106" s="20" t="str">
        <f>CONCATENATE(參考!B$1,[資料表詳細]資料表詳細表格[[#This Row],[表名]])</f>
        <v>sys_seat</v>
      </c>
      <c r="M106" s="18" t="str">
        <f>VLOOKUP([資料表詳細]資料表詳細表格[[#This Row],[屬性類型(Postgre)]],選單!$A$3:$B$20,2,FALSE)</f>
        <v>string</v>
      </c>
      <c r="N106" s="20" t="str">
        <f>CONCATENATE(參考!B$2,[資料表詳細]資料表詳細表格[[#This Row],[欄位名稱(英)]])</f>
        <v>seat_stuff</v>
      </c>
    </row>
    <row r="107" spans="1:14" s="2" customFormat="1">
      <c r="A107" s="74">
        <v>102</v>
      </c>
      <c r="B107" s="22" t="s">
        <v>36</v>
      </c>
      <c r="C107" s="54" t="s">
        <v>814</v>
      </c>
      <c r="D107" s="19">
        <v>5</v>
      </c>
      <c r="E107" s="20" t="s">
        <v>934</v>
      </c>
      <c r="F107" s="20" t="s">
        <v>935</v>
      </c>
      <c r="G107" s="20" t="s">
        <v>41</v>
      </c>
      <c r="H107" s="21">
        <v>20</v>
      </c>
      <c r="I107" s="21" t="s">
        <v>32</v>
      </c>
      <c r="J107" s="21"/>
      <c r="K107" s="20"/>
      <c r="L107" s="20" t="str">
        <f>CONCATENATE(參考!B$1,[資料表詳細]資料表詳細表格[[#This Row],[表名]])</f>
        <v>sys_seat</v>
      </c>
      <c r="M107" s="18" t="str">
        <f>VLOOKUP([資料表詳細]資料表詳細表格[[#This Row],[屬性類型(Postgre)]],選單!$A$3:$B$20,2,FALSE)</f>
        <v>string</v>
      </c>
      <c r="N107" s="20" t="str">
        <f>CONCATENATE(參考!B$2,[資料表詳細]資料表詳細表格[[#This Row],[欄位名稱(英)]])</f>
        <v>region_id</v>
      </c>
    </row>
    <row r="108" spans="1:14" s="2" customFormat="1">
      <c r="A108" s="74">
        <v>103</v>
      </c>
      <c r="B108" s="22" t="s">
        <v>36</v>
      </c>
      <c r="C108" s="54" t="s">
        <v>814</v>
      </c>
      <c r="D108" s="19">
        <v>6</v>
      </c>
      <c r="E108" s="20" t="s">
        <v>779</v>
      </c>
      <c r="F108" s="20" t="s">
        <v>930</v>
      </c>
      <c r="G108" s="20" t="s">
        <v>41</v>
      </c>
      <c r="H108" s="21">
        <v>20</v>
      </c>
      <c r="I108" s="21" t="s">
        <v>32</v>
      </c>
      <c r="J108" s="21"/>
      <c r="K108" s="20"/>
      <c r="L108" s="20" t="str">
        <f>CONCATENATE(參考!B$1,[資料表詳細]資料表詳細表格[[#This Row],[表名]])</f>
        <v>sys_seat</v>
      </c>
      <c r="M108" s="18" t="str">
        <f>VLOOKUP([資料表詳細]資料表詳細表格[[#This Row],[屬性類型(Postgre)]],選單!$A$3:$B$20,2,FALSE)</f>
        <v>string</v>
      </c>
      <c r="N108" s="20" t="str">
        <f>CONCATENATE(參考!B$2,[資料表詳細]資料表詳細表格[[#This Row],[欄位名稱(英)]])</f>
        <v>region_name</v>
      </c>
    </row>
    <row r="109" spans="1:14" s="2" customFormat="1">
      <c r="A109" s="74">
        <v>104</v>
      </c>
      <c r="B109" s="22" t="s">
        <v>36</v>
      </c>
      <c r="C109" s="54" t="s">
        <v>814</v>
      </c>
      <c r="D109" s="19">
        <v>7</v>
      </c>
      <c r="E109" s="20" t="s">
        <v>780</v>
      </c>
      <c r="F109" s="20" t="s">
        <v>931</v>
      </c>
      <c r="G109" s="20" t="s">
        <v>41</v>
      </c>
      <c r="H109" s="21">
        <v>20</v>
      </c>
      <c r="I109" s="21" t="s">
        <v>32</v>
      </c>
      <c r="J109" s="21"/>
      <c r="K109" s="20"/>
      <c r="L109" s="20" t="str">
        <f>CONCATENATE(參考!B$1,[資料表詳細]資料表詳細表格[[#This Row],[表名]])</f>
        <v>sys_seat</v>
      </c>
      <c r="M109" s="18" t="str">
        <f>VLOOKUP([資料表詳細]資料表詳細表格[[#This Row],[屬性類型(Postgre)]],選單!$A$3:$B$20,2,FALSE)</f>
        <v>string</v>
      </c>
      <c r="N109" s="20" t="str">
        <f>CONCATENATE(參考!B$2,[資料表詳細]資料表詳細表格[[#This Row],[欄位名稱(英)]])</f>
        <v>place_name</v>
      </c>
    </row>
    <row r="110" spans="1:14" s="2" customFormat="1">
      <c r="A110" s="74">
        <v>105</v>
      </c>
      <c r="B110" s="22" t="s">
        <v>36</v>
      </c>
      <c r="C110" s="54" t="s">
        <v>814</v>
      </c>
      <c r="D110" s="19">
        <v>8</v>
      </c>
      <c r="E110" s="20" t="s">
        <v>218</v>
      </c>
      <c r="F110" s="20" t="s">
        <v>913</v>
      </c>
      <c r="G110" s="20" t="s">
        <v>41</v>
      </c>
      <c r="H110" s="21">
        <v>20</v>
      </c>
      <c r="I110" s="21" t="s">
        <v>32</v>
      </c>
      <c r="J110" s="21"/>
      <c r="K110" s="20"/>
      <c r="L110" s="20" t="str">
        <f>CONCATENATE(參考!B$1,[資料表詳細]資料表詳細表格[[#This Row],[表名]])</f>
        <v>sys_seat</v>
      </c>
      <c r="M110" s="18" t="str">
        <f>VLOOKUP([資料表詳細]資料表詳細表格[[#This Row],[屬性類型(Postgre)]],選單!$A$3:$B$20,2,FALSE)</f>
        <v>string</v>
      </c>
      <c r="N110" s="20" t="str">
        <f>CONCATENATE(參考!B$2,[資料表詳細]資料表詳細表格[[#This Row],[欄位名稱(英)]])</f>
        <v>area_name</v>
      </c>
    </row>
    <row r="111" spans="1:14" s="2" customFormat="1">
      <c r="A111" s="74">
        <v>106</v>
      </c>
      <c r="B111" s="22" t="s">
        <v>36</v>
      </c>
      <c r="C111" s="54" t="s">
        <v>814</v>
      </c>
      <c r="D111" s="19">
        <v>9</v>
      </c>
      <c r="E111" s="20" t="s">
        <v>1</v>
      </c>
      <c r="F111" s="20" t="s">
        <v>2</v>
      </c>
      <c r="G111" s="20" t="s">
        <v>41</v>
      </c>
      <c r="H111" s="21">
        <v>20</v>
      </c>
      <c r="I111" s="21" t="s">
        <v>32</v>
      </c>
      <c r="J111" s="21"/>
      <c r="K111" s="20"/>
      <c r="L111" s="20" t="str">
        <f>CONCATENATE(參考!B$1,[資料表詳細]資料表詳細表格[[#This Row],[表名]])</f>
        <v>sys_seat</v>
      </c>
      <c r="M111" s="18" t="str">
        <f>VLOOKUP([資料表詳細]資料表詳細表格[[#This Row],[屬性類型(Postgre)]],選單!$A$3:$B$20,2,FALSE)</f>
        <v>string</v>
      </c>
      <c r="N111" s="20" t="str">
        <f>CONCATENATE(參考!B$2,[資料表詳細]資料表詳細表格[[#This Row],[欄位名稱(英)]])</f>
        <v>ins_user</v>
      </c>
    </row>
    <row r="112" spans="1:14" s="2" customFormat="1">
      <c r="A112" s="74">
        <v>107</v>
      </c>
      <c r="B112" s="22" t="s">
        <v>36</v>
      </c>
      <c r="C112" s="54" t="s">
        <v>814</v>
      </c>
      <c r="D112" s="19">
        <v>10</v>
      </c>
      <c r="E112" s="20" t="s">
        <v>3</v>
      </c>
      <c r="F112" s="20" t="s">
        <v>4</v>
      </c>
      <c r="G112" s="20" t="s">
        <v>5</v>
      </c>
      <c r="H112" s="21"/>
      <c r="I112" s="21" t="s">
        <v>32</v>
      </c>
      <c r="J112" s="21"/>
      <c r="K112" s="20"/>
      <c r="L112" s="20" t="str">
        <f>CONCATENATE(參考!B$1,[資料表詳細]資料表詳細表格[[#This Row],[表名]])</f>
        <v>sys_seat</v>
      </c>
      <c r="M112" s="18" t="str">
        <f>VLOOKUP([資料表詳細]資料表詳細表格[[#This Row],[屬性類型(Postgre)]],選單!$A$3:$B$20,2,FALSE)</f>
        <v>DateTime</v>
      </c>
      <c r="N112" s="20" t="str">
        <f>CONCATENATE(參考!B$2,[資料表詳細]資料表詳細表格[[#This Row],[欄位名稱(英)]])</f>
        <v>ins_time</v>
      </c>
    </row>
    <row r="113" spans="1:14" s="2" customFormat="1">
      <c r="A113" s="74">
        <v>108</v>
      </c>
      <c r="B113" s="22" t="s">
        <v>36</v>
      </c>
      <c r="C113" s="54" t="s">
        <v>814</v>
      </c>
      <c r="D113" s="19">
        <v>11</v>
      </c>
      <c r="E113" s="20" t="s">
        <v>6</v>
      </c>
      <c r="F113" s="20" t="s">
        <v>7</v>
      </c>
      <c r="G113" s="20" t="s">
        <v>41</v>
      </c>
      <c r="H113" s="21">
        <v>20</v>
      </c>
      <c r="I113" s="21" t="s">
        <v>32</v>
      </c>
      <c r="J113" s="21"/>
      <c r="K113" s="20"/>
      <c r="L113" s="20" t="str">
        <f>CONCATENATE(參考!B$1,[資料表詳細]資料表詳細表格[[#This Row],[表名]])</f>
        <v>sys_seat</v>
      </c>
      <c r="M113" s="18" t="str">
        <f>VLOOKUP([資料表詳細]資料表詳細表格[[#This Row],[屬性類型(Postgre)]],選單!$A$3:$B$20,2,FALSE)</f>
        <v>string</v>
      </c>
      <c r="N113" s="20" t="str">
        <f>CONCATENATE(參考!B$2,[資料表詳細]資料表詳細表格[[#This Row],[欄位名稱(英)]])</f>
        <v>upd_user</v>
      </c>
    </row>
    <row r="114" spans="1:14" s="2" customFormat="1">
      <c r="A114" s="74">
        <v>109</v>
      </c>
      <c r="B114" s="22" t="s">
        <v>36</v>
      </c>
      <c r="C114" s="54" t="s">
        <v>814</v>
      </c>
      <c r="D114" s="19">
        <v>12</v>
      </c>
      <c r="E114" s="20" t="s">
        <v>8</v>
      </c>
      <c r="F114" s="20" t="s">
        <v>9</v>
      </c>
      <c r="G114" s="20" t="s">
        <v>5</v>
      </c>
      <c r="H114" s="21"/>
      <c r="I114" s="21" t="s">
        <v>32</v>
      </c>
      <c r="J114" s="21"/>
      <c r="K114" s="20"/>
      <c r="L114" s="20" t="str">
        <f>CONCATENATE(參考!B$1,[資料表詳細]資料表詳細表格[[#This Row],[表名]])</f>
        <v>sys_seat</v>
      </c>
      <c r="M114" s="18" t="str">
        <f>VLOOKUP([資料表詳細]資料表詳細表格[[#This Row],[屬性類型(Postgre)]],選單!$A$3:$B$20,2,FALSE)</f>
        <v>DateTime</v>
      </c>
      <c r="N114" s="20" t="str">
        <f>CONCATENATE(參考!B$2,[資料表詳細]資料表詳細表格[[#This Row],[欄位名稱(英)]])</f>
        <v>upd_time</v>
      </c>
    </row>
    <row r="115" spans="1:14" s="2" customFormat="1">
      <c r="A115" s="74">
        <v>110</v>
      </c>
      <c r="B115" s="81" t="s">
        <v>36</v>
      </c>
      <c r="C115" s="58" t="s">
        <v>831</v>
      </c>
      <c r="D115" s="59">
        <v>1</v>
      </c>
      <c r="E115" s="62" t="s">
        <v>816</v>
      </c>
      <c r="F115" s="62" t="s">
        <v>819</v>
      </c>
      <c r="G115" s="62" t="s">
        <v>41</v>
      </c>
      <c r="H115" s="61">
        <v>20</v>
      </c>
      <c r="I115" s="61" t="s">
        <v>32</v>
      </c>
      <c r="J115" s="61" t="s">
        <v>27</v>
      </c>
      <c r="K115" s="62"/>
      <c r="L115" s="20" t="str">
        <f>CONCATENATE(參考!B$1,[資料表詳細]資料表詳細表格[[#This Row],[表名]])</f>
        <v>sys_seat_equip</v>
      </c>
      <c r="M115" s="18" t="str">
        <f>VLOOKUP([資料表詳細]資料表詳細表格[[#This Row],[屬性類型(Postgre)]],選單!$A$3:$B$20,2,FALSE)</f>
        <v>string</v>
      </c>
      <c r="N115" s="20" t="str">
        <f>CONCATENATE(參考!B$2,[資料表詳細]資料表詳細表格[[#This Row],[欄位名稱(英)]])</f>
        <v>steat_id</v>
      </c>
    </row>
    <row r="116" spans="1:14" s="2" customFormat="1">
      <c r="A116" s="74">
        <v>111</v>
      </c>
      <c r="B116" s="81" t="s">
        <v>36</v>
      </c>
      <c r="C116" s="60" t="s">
        <v>831</v>
      </c>
      <c r="D116" s="59">
        <v>2</v>
      </c>
      <c r="E116" s="62" t="s">
        <v>824</v>
      </c>
      <c r="F116" s="62" t="s">
        <v>823</v>
      </c>
      <c r="G116" s="62" t="s">
        <v>41</v>
      </c>
      <c r="H116" s="61">
        <v>25</v>
      </c>
      <c r="I116" s="61" t="s">
        <v>32</v>
      </c>
      <c r="J116" s="61"/>
      <c r="K116" s="62"/>
      <c r="L116" s="20" t="str">
        <f>CONCATENATE(參考!B$1,[資料表詳細]資料表詳細表格[[#This Row],[表名]])</f>
        <v>sys_seat_equip</v>
      </c>
      <c r="M116" s="18" t="str">
        <f>VLOOKUP([資料表詳細]資料表詳細表格[[#This Row],[屬性類型(Postgre)]],選單!$A$3:$B$20,2,FALSE)</f>
        <v>string</v>
      </c>
      <c r="N116" s="20" t="str">
        <f>CONCATENATE(參考!B$2,[資料表詳細]資料表詳細表格[[#This Row],[欄位名稱(英)]])</f>
        <v>equip_id_cmft</v>
      </c>
    </row>
    <row r="117" spans="1:14" s="2" customFormat="1">
      <c r="A117" s="74">
        <v>112</v>
      </c>
      <c r="B117" s="81" t="s">
        <v>36</v>
      </c>
      <c r="C117" s="60" t="s">
        <v>831</v>
      </c>
      <c r="D117" s="59">
        <v>3</v>
      </c>
      <c r="E117" s="62" t="s">
        <v>825</v>
      </c>
      <c r="F117" s="62" t="s">
        <v>828</v>
      </c>
      <c r="G117" s="62" t="s">
        <v>41</v>
      </c>
      <c r="H117" s="61">
        <v>25</v>
      </c>
      <c r="I117" s="61" t="s">
        <v>32</v>
      </c>
      <c r="J117" s="61"/>
      <c r="K117" s="62"/>
      <c r="L117" s="20" t="str">
        <f>CONCATENATE(參考!B$1,[資料表詳細]資料表詳細表格[[#This Row],[表名]])</f>
        <v>sys_seat_equip</v>
      </c>
      <c r="M117" s="18" t="str">
        <f>VLOOKUP([資料表詳細]資料表詳細表格[[#This Row],[屬性類型(Postgre)]],選單!$A$3:$B$20,2,FALSE)</f>
        <v>string</v>
      </c>
      <c r="N117" s="20" t="str">
        <f>CONCATENATE(參考!B$2,[資料表詳細]資料表詳細表格[[#This Row],[欄位名稱(英)]])</f>
        <v>equip_id_dlts</v>
      </c>
    </row>
    <row r="118" spans="1:14" s="2" customFormat="1">
      <c r="A118" s="74">
        <v>113</v>
      </c>
      <c r="B118" s="81" t="s">
        <v>36</v>
      </c>
      <c r="C118" s="60" t="s">
        <v>831</v>
      </c>
      <c r="D118" s="59">
        <v>4</v>
      </c>
      <c r="E118" s="62" t="s">
        <v>826</v>
      </c>
      <c r="F118" s="62" t="s">
        <v>829</v>
      </c>
      <c r="G118" s="62" t="s">
        <v>41</v>
      </c>
      <c r="H118" s="61">
        <v>25</v>
      </c>
      <c r="I118" s="61" t="s">
        <v>32</v>
      </c>
      <c r="J118" s="61"/>
      <c r="K118" s="62"/>
      <c r="L118" s="20" t="str">
        <f>CONCATENATE(參考!B$1,[資料表詳細]資料表詳細表格[[#This Row],[表名]])</f>
        <v>sys_seat_equip</v>
      </c>
      <c r="M118" s="18" t="str">
        <f>VLOOKUP([資料表詳細]資料表詳細表格[[#This Row],[屬性類型(Postgre)]],選單!$A$3:$B$20,2,FALSE)</f>
        <v>string</v>
      </c>
      <c r="N118" s="20" t="str">
        <f>CONCATENATE(參考!B$2,[資料表詳細]資料表詳細表格[[#This Row],[欄位名稱(英)]])</f>
        <v>equip_id_epabx</v>
      </c>
    </row>
    <row r="119" spans="1:14" s="2" customFormat="1">
      <c r="A119" s="74">
        <v>114</v>
      </c>
      <c r="B119" s="81" t="s">
        <v>36</v>
      </c>
      <c r="C119" s="60" t="s">
        <v>831</v>
      </c>
      <c r="D119" s="59">
        <v>5</v>
      </c>
      <c r="E119" s="62" t="s">
        <v>827</v>
      </c>
      <c r="F119" s="62" t="s">
        <v>830</v>
      </c>
      <c r="G119" s="62" t="s">
        <v>41</v>
      </c>
      <c r="H119" s="61">
        <v>25</v>
      </c>
      <c r="I119" s="61" t="s">
        <v>32</v>
      </c>
      <c r="J119" s="61"/>
      <c r="K119" s="62"/>
      <c r="L119" s="20" t="str">
        <f>CONCATENATE(參考!B$1,[資料表詳細]資料表詳細表格[[#This Row],[表名]])</f>
        <v>sys_seat_equip</v>
      </c>
      <c r="M119" s="18" t="str">
        <f>VLOOKUP([資料表詳細]資料表詳細表格[[#This Row],[屬性類型(Postgre)]],選單!$A$3:$B$20,2,FALSE)</f>
        <v>string</v>
      </c>
      <c r="N119" s="20" t="str">
        <f>CONCATENATE(參考!B$2,[資料表詳細]資料表詳細表格[[#This Row],[欄位名稱(英)]])</f>
        <v>equip_id_tetra</v>
      </c>
    </row>
    <row r="120" spans="1:14" s="2" customFormat="1">
      <c r="A120" s="74">
        <v>115</v>
      </c>
      <c r="B120" s="81" t="s">
        <v>36</v>
      </c>
      <c r="C120" s="60" t="s">
        <v>831</v>
      </c>
      <c r="D120" s="59">
        <v>6</v>
      </c>
      <c r="E120" s="62" t="s">
        <v>1</v>
      </c>
      <c r="F120" s="62" t="s">
        <v>2</v>
      </c>
      <c r="G120" s="62" t="s">
        <v>41</v>
      </c>
      <c r="H120" s="61">
        <v>20</v>
      </c>
      <c r="I120" s="61" t="s">
        <v>32</v>
      </c>
      <c r="J120" s="61"/>
      <c r="K120" s="62"/>
      <c r="L120" s="20" t="str">
        <f>CONCATENATE(參考!B$1,[資料表詳細]資料表詳細表格[[#This Row],[表名]])</f>
        <v>sys_seat_equip</v>
      </c>
      <c r="M120" s="18" t="str">
        <f>VLOOKUP([資料表詳細]資料表詳細表格[[#This Row],[屬性類型(Postgre)]],選單!$A$3:$B$20,2,FALSE)</f>
        <v>string</v>
      </c>
      <c r="N120" s="20" t="str">
        <f>CONCATENATE(參考!B$2,[資料表詳細]資料表詳細表格[[#This Row],[欄位名稱(英)]])</f>
        <v>ins_user</v>
      </c>
    </row>
    <row r="121" spans="1:14" s="2" customFormat="1">
      <c r="A121" s="74">
        <v>116</v>
      </c>
      <c r="B121" s="81" t="s">
        <v>36</v>
      </c>
      <c r="C121" s="60" t="s">
        <v>831</v>
      </c>
      <c r="D121" s="59">
        <v>7</v>
      </c>
      <c r="E121" s="62" t="s">
        <v>3</v>
      </c>
      <c r="F121" s="62" t="s">
        <v>4</v>
      </c>
      <c r="G121" s="62" t="s">
        <v>5</v>
      </c>
      <c r="H121" s="61"/>
      <c r="I121" s="61" t="s">
        <v>32</v>
      </c>
      <c r="J121" s="61"/>
      <c r="K121" s="62"/>
      <c r="L121" s="20" t="str">
        <f>CONCATENATE(參考!B$1,[資料表詳細]資料表詳細表格[[#This Row],[表名]])</f>
        <v>sys_seat_equip</v>
      </c>
      <c r="M121" s="18" t="str">
        <f>VLOOKUP([資料表詳細]資料表詳細表格[[#This Row],[屬性類型(Postgre)]],選單!$A$3:$B$20,2,FALSE)</f>
        <v>DateTime</v>
      </c>
      <c r="N121" s="20" t="str">
        <f>CONCATENATE(參考!B$2,[資料表詳細]資料表詳細表格[[#This Row],[欄位名稱(英)]])</f>
        <v>ins_time</v>
      </c>
    </row>
    <row r="122" spans="1:14" s="2" customFormat="1">
      <c r="A122" s="74">
        <v>117</v>
      </c>
      <c r="B122" s="81" t="s">
        <v>36</v>
      </c>
      <c r="C122" s="60" t="s">
        <v>831</v>
      </c>
      <c r="D122" s="59">
        <v>8</v>
      </c>
      <c r="E122" s="62" t="s">
        <v>6</v>
      </c>
      <c r="F122" s="62" t="s">
        <v>7</v>
      </c>
      <c r="G122" s="62" t="s">
        <v>41</v>
      </c>
      <c r="H122" s="61">
        <v>20</v>
      </c>
      <c r="I122" s="61" t="s">
        <v>32</v>
      </c>
      <c r="J122" s="61"/>
      <c r="K122" s="62"/>
      <c r="L122" s="20" t="str">
        <f>CONCATENATE(參考!B$1,[資料表詳細]資料表詳細表格[[#This Row],[表名]])</f>
        <v>sys_seat_equip</v>
      </c>
      <c r="M122" s="18" t="str">
        <f>VLOOKUP([資料表詳細]資料表詳細表格[[#This Row],[屬性類型(Postgre)]],選單!$A$3:$B$20,2,FALSE)</f>
        <v>string</v>
      </c>
      <c r="N122" s="20" t="str">
        <f>CONCATENATE(參考!B$2,[資料表詳細]資料表詳細表格[[#This Row],[欄位名稱(英)]])</f>
        <v>upd_user</v>
      </c>
    </row>
    <row r="123" spans="1:14" s="2" customFormat="1">
      <c r="A123" s="74">
        <v>118</v>
      </c>
      <c r="B123" s="81" t="s">
        <v>36</v>
      </c>
      <c r="C123" s="60" t="s">
        <v>831</v>
      </c>
      <c r="D123" s="59">
        <v>9</v>
      </c>
      <c r="E123" s="62" t="s">
        <v>8</v>
      </c>
      <c r="F123" s="62" t="s">
        <v>9</v>
      </c>
      <c r="G123" s="62" t="s">
        <v>5</v>
      </c>
      <c r="H123" s="61"/>
      <c r="I123" s="61" t="s">
        <v>32</v>
      </c>
      <c r="J123" s="61"/>
      <c r="K123" s="62"/>
      <c r="L123" s="20" t="str">
        <f>CONCATENATE(參考!B$1,[資料表詳細]資料表詳細表格[[#This Row],[表名]])</f>
        <v>sys_seat_equip</v>
      </c>
      <c r="M123" s="18" t="str">
        <f>VLOOKUP([資料表詳細]資料表詳細表格[[#This Row],[屬性類型(Postgre)]],選單!$A$3:$B$20,2,FALSE)</f>
        <v>DateTime</v>
      </c>
      <c r="N123" s="20" t="str">
        <f>CONCATENATE(參考!B$2,[資料表詳細]資料表詳細表格[[#This Row],[欄位名稱(英)]])</f>
        <v>upd_time</v>
      </c>
    </row>
    <row r="124" spans="1:14" s="2" customFormat="1">
      <c r="A124" s="74">
        <v>119</v>
      </c>
      <c r="B124" s="18" t="s">
        <v>19</v>
      </c>
      <c r="C124" s="18" t="s">
        <v>105</v>
      </c>
      <c r="D124" s="19">
        <v>1</v>
      </c>
      <c r="E124" s="20" t="s">
        <v>97</v>
      </c>
      <c r="F124" s="20" t="s">
        <v>96</v>
      </c>
      <c r="G124" s="20" t="s">
        <v>0</v>
      </c>
      <c r="H124" s="21">
        <v>40</v>
      </c>
      <c r="I124" s="21" t="s">
        <v>32</v>
      </c>
      <c r="J124" s="21" t="s">
        <v>114</v>
      </c>
      <c r="K124" s="20"/>
      <c r="L124" s="20" t="str">
        <f>CONCATENATE(參考!B$1,[資料表詳細]資料表詳細表格[[#This Row],[表名]])</f>
        <v>cmft_oper</v>
      </c>
      <c r="M124" s="2" t="str">
        <f>VLOOKUP([資料表詳細]資料表詳細表格[[#This Row],[屬性類型(Postgre)]],選單!$A$3:$B$20,2,FALSE)</f>
        <v>string</v>
      </c>
      <c r="N124" s="20" t="str">
        <f>CONCATENATE(參考!B$2,[資料表詳細]資料表詳細表格[[#This Row],[欄位名稱(英)]])</f>
        <v>oper_id</v>
      </c>
    </row>
    <row r="125" spans="1:14" s="2" customFormat="1">
      <c r="A125" s="74">
        <v>120</v>
      </c>
      <c r="B125" s="22" t="s">
        <v>19</v>
      </c>
      <c r="C125" s="22" t="s">
        <v>104</v>
      </c>
      <c r="D125" s="19">
        <v>2</v>
      </c>
      <c r="E125" s="20" t="s">
        <v>1017</v>
      </c>
      <c r="F125" s="20" t="s">
        <v>1019</v>
      </c>
      <c r="G125" s="20" t="s">
        <v>0</v>
      </c>
      <c r="H125" s="21">
        <v>20</v>
      </c>
      <c r="I125" s="21" t="s">
        <v>32</v>
      </c>
      <c r="J125" s="21"/>
      <c r="K125" s="20"/>
      <c r="L125" s="20" t="str">
        <f>CONCATENATE(參考!B$1,[資料表詳細]資料表詳細表格[[#This Row],[表名]])</f>
        <v>cmft_oper</v>
      </c>
      <c r="M125" s="18" t="str">
        <f>VLOOKUP([資料表詳細]資料表詳細表格[[#This Row],[屬性類型(Postgre)]],選單!$A$3:$B$20,2,FALSE)</f>
        <v>string</v>
      </c>
      <c r="N125" s="20" t="str">
        <f>CONCATENATE(參考!B$2,[資料表詳細]資料表詳細表格[[#This Row],[欄位名稱(英)]])</f>
        <v>page_id</v>
      </c>
    </row>
    <row r="126" spans="1:14" s="2" customFormat="1">
      <c r="A126" s="74">
        <v>121</v>
      </c>
      <c r="B126" s="22" t="s">
        <v>19</v>
      </c>
      <c r="C126" s="22" t="s">
        <v>104</v>
      </c>
      <c r="D126" s="19">
        <v>3</v>
      </c>
      <c r="E126" s="20" t="s">
        <v>1016</v>
      </c>
      <c r="F126" s="20" t="s">
        <v>170</v>
      </c>
      <c r="G126" s="20" t="s">
        <v>0</v>
      </c>
      <c r="H126" s="21">
        <v>10</v>
      </c>
      <c r="I126" s="21" t="s">
        <v>32</v>
      </c>
      <c r="J126" s="21"/>
      <c r="K126" s="20"/>
      <c r="L126" s="20" t="str">
        <f>CONCATENATE(參考!B$1,[資料表詳細]資料表詳細表格[[#This Row],[表名]])</f>
        <v>cmft_oper</v>
      </c>
      <c r="M126" s="2" t="str">
        <f>VLOOKUP([資料表詳細]資料表詳細表格[[#This Row],[屬性類型(Postgre)]],選單!$A$3:$B$20,2,FALSE)</f>
        <v>string</v>
      </c>
      <c r="N126" s="20" t="str">
        <f>CONCATENATE(參考!B$2,[資料表詳細]資料表詳細表格[[#This Row],[欄位名稱(英)]])</f>
        <v>page_name</v>
      </c>
    </row>
    <row r="127" spans="1:14" s="2" customFormat="1">
      <c r="A127" s="74">
        <v>122</v>
      </c>
      <c r="B127" s="22" t="s">
        <v>19</v>
      </c>
      <c r="C127" s="22" t="s">
        <v>104</v>
      </c>
      <c r="D127" s="19">
        <v>4</v>
      </c>
      <c r="E127" s="20" t="s">
        <v>1018</v>
      </c>
      <c r="F127" s="20" t="s">
        <v>1020</v>
      </c>
      <c r="G127" s="20" t="s">
        <v>0</v>
      </c>
      <c r="H127" s="21">
        <v>30</v>
      </c>
      <c r="I127" s="21" t="s">
        <v>32</v>
      </c>
      <c r="J127" s="21"/>
      <c r="K127" s="20"/>
      <c r="L127" s="20" t="str">
        <f>CONCATENATE(參考!B$1,[資料表詳細]資料表詳細表格[[#This Row],[表名]])</f>
        <v>cmft_oper</v>
      </c>
      <c r="M127" s="18" t="str">
        <f>VLOOKUP([資料表詳細]資料表詳細表格[[#This Row],[屬性類型(Postgre)]],選單!$A$3:$B$20,2,FALSE)</f>
        <v>string</v>
      </c>
      <c r="N127" s="20" t="str">
        <f>CONCATENATE(參考!B$2,[資料表詳細]資料表詳細表格[[#This Row],[欄位名稱(英)]])</f>
        <v>func_id</v>
      </c>
    </row>
    <row r="128" spans="1:14" s="2" customFormat="1">
      <c r="A128" s="74">
        <v>123</v>
      </c>
      <c r="B128" s="22" t="s">
        <v>19</v>
      </c>
      <c r="C128" s="22" t="s">
        <v>104</v>
      </c>
      <c r="D128" s="19">
        <v>5</v>
      </c>
      <c r="E128" s="20" t="s">
        <v>98</v>
      </c>
      <c r="F128" s="20" t="s">
        <v>103</v>
      </c>
      <c r="G128" s="20" t="s">
        <v>0</v>
      </c>
      <c r="H128" s="21">
        <v>30</v>
      </c>
      <c r="I128" s="21" t="s">
        <v>32</v>
      </c>
      <c r="J128" s="21"/>
      <c r="K128" s="20"/>
      <c r="L128" s="20" t="str">
        <f>CONCATENATE(參考!B$1,[資料表詳細]資料表詳細表格[[#This Row],[表名]])</f>
        <v>cmft_oper</v>
      </c>
      <c r="M128" s="2" t="str">
        <f>VLOOKUP([資料表詳細]資料表詳細表格[[#This Row],[屬性類型(Postgre)]],選單!$A$3:$B$20,2,FALSE)</f>
        <v>string</v>
      </c>
      <c r="N128" s="20" t="str">
        <f>CONCATENATE(參考!B$2,[資料表詳細]資料表詳細表格[[#This Row],[欄位名稱(英)]])</f>
        <v>func_name</v>
      </c>
    </row>
    <row r="129" spans="1:14" s="2" customFormat="1">
      <c r="A129" s="74">
        <v>124</v>
      </c>
      <c r="B129" s="22" t="s">
        <v>19</v>
      </c>
      <c r="C129" s="22" t="s">
        <v>104</v>
      </c>
      <c r="D129" s="19">
        <v>6</v>
      </c>
      <c r="E129" s="20" t="s">
        <v>1</v>
      </c>
      <c r="F129" s="20" t="s">
        <v>2</v>
      </c>
      <c r="G129" s="20" t="s">
        <v>41</v>
      </c>
      <c r="H129" s="21">
        <v>20</v>
      </c>
      <c r="I129" s="21" t="s">
        <v>32</v>
      </c>
      <c r="J129" s="21"/>
      <c r="K129" s="20"/>
      <c r="L129" s="20" t="str">
        <f>CONCATENATE(參考!B$1,[資料表詳細]資料表詳細表格[[#This Row],[表名]])</f>
        <v>cmft_oper</v>
      </c>
      <c r="M129" s="2" t="str">
        <f>VLOOKUP([資料表詳細]資料表詳細表格[[#This Row],[屬性類型(Postgre)]],選單!$A$3:$B$20,2,FALSE)</f>
        <v>string</v>
      </c>
      <c r="N129" s="20" t="str">
        <f>CONCATENATE(參考!B$2,[資料表詳細]資料表詳細表格[[#This Row],[欄位名稱(英)]])</f>
        <v>ins_user</v>
      </c>
    </row>
    <row r="130" spans="1:14" s="2" customFormat="1">
      <c r="A130" s="74">
        <v>125</v>
      </c>
      <c r="B130" s="22" t="s">
        <v>19</v>
      </c>
      <c r="C130" s="22" t="s">
        <v>104</v>
      </c>
      <c r="D130" s="19">
        <v>7</v>
      </c>
      <c r="E130" s="20" t="s">
        <v>3</v>
      </c>
      <c r="F130" s="20" t="s">
        <v>4</v>
      </c>
      <c r="G130" s="20" t="s">
        <v>77</v>
      </c>
      <c r="H130" s="21"/>
      <c r="I130" s="21" t="s">
        <v>32</v>
      </c>
      <c r="J130" s="21"/>
      <c r="K130" s="20"/>
      <c r="L130" s="20" t="str">
        <f>CONCATENATE(參考!B$1,[資料表詳細]資料表詳細表格[[#This Row],[表名]])</f>
        <v>cmft_oper</v>
      </c>
      <c r="M130" s="2" t="str">
        <f>VLOOKUP([資料表詳細]資料表詳細表格[[#This Row],[屬性類型(Postgre)]],選單!$A$3:$B$20,2,FALSE)</f>
        <v>DateTime</v>
      </c>
      <c r="N130" s="20" t="str">
        <f>CONCATENATE(參考!B$2,[資料表詳細]資料表詳細表格[[#This Row],[欄位名稱(英)]])</f>
        <v>ins_time</v>
      </c>
    </row>
    <row r="131" spans="1:14" s="2" customFormat="1">
      <c r="A131" s="74">
        <v>126</v>
      </c>
      <c r="B131" s="22" t="s">
        <v>19</v>
      </c>
      <c r="C131" s="22" t="s">
        <v>104</v>
      </c>
      <c r="D131" s="19">
        <v>8</v>
      </c>
      <c r="E131" s="20" t="s">
        <v>6</v>
      </c>
      <c r="F131" s="20" t="s">
        <v>7</v>
      </c>
      <c r="G131" s="20" t="s">
        <v>41</v>
      </c>
      <c r="H131" s="21">
        <v>20</v>
      </c>
      <c r="I131" s="21" t="s">
        <v>32</v>
      </c>
      <c r="J131" s="21"/>
      <c r="K131" s="20"/>
      <c r="L131" s="20" t="str">
        <f>CONCATENATE(參考!B$1,[資料表詳細]資料表詳細表格[[#This Row],[表名]])</f>
        <v>cmft_oper</v>
      </c>
      <c r="M131" s="2" t="str">
        <f>VLOOKUP([資料表詳細]資料表詳細表格[[#This Row],[屬性類型(Postgre)]],選單!$A$3:$B$20,2,FALSE)</f>
        <v>string</v>
      </c>
      <c r="N131" s="20" t="str">
        <f>CONCATENATE(參考!B$2,[資料表詳細]資料表詳細表格[[#This Row],[欄位名稱(英)]])</f>
        <v>upd_user</v>
      </c>
    </row>
    <row r="132" spans="1:14" s="2" customFormat="1">
      <c r="A132" s="74">
        <v>127</v>
      </c>
      <c r="B132" s="22" t="s">
        <v>19</v>
      </c>
      <c r="C132" s="22" t="s">
        <v>104</v>
      </c>
      <c r="D132" s="19">
        <v>9</v>
      </c>
      <c r="E132" s="20" t="s">
        <v>8</v>
      </c>
      <c r="F132" s="20" t="s">
        <v>9</v>
      </c>
      <c r="G132" s="20" t="s">
        <v>77</v>
      </c>
      <c r="H132" s="21"/>
      <c r="I132" s="21" t="s">
        <v>32</v>
      </c>
      <c r="J132" s="21"/>
      <c r="K132" s="20"/>
      <c r="L132" s="20" t="str">
        <f>CONCATENATE(參考!B$1,[資料表詳細]資料表詳細表格[[#This Row],[表名]])</f>
        <v>cmft_oper</v>
      </c>
      <c r="M132" s="2" t="str">
        <f>VLOOKUP([資料表詳細]資料表詳細表格[[#This Row],[屬性類型(Postgre)]],選單!$A$3:$B$20,2,FALSE)</f>
        <v>DateTime</v>
      </c>
      <c r="N132" s="20" t="str">
        <f>CONCATENATE(參考!B$2,[資料表詳細]資料表詳細表格[[#This Row],[欄位名稱(英)]])</f>
        <v>upd_time</v>
      </c>
    </row>
    <row r="133" spans="1:14" s="2" customFormat="1">
      <c r="A133" s="74">
        <v>128</v>
      </c>
      <c r="B133" s="22" t="s">
        <v>19</v>
      </c>
      <c r="C133" s="18" t="s">
        <v>50</v>
      </c>
      <c r="D133" s="19">
        <v>1</v>
      </c>
      <c r="E133" s="20" t="s">
        <v>52</v>
      </c>
      <c r="F133" s="20" t="s">
        <v>82</v>
      </c>
      <c r="G133" s="20" t="s">
        <v>71</v>
      </c>
      <c r="H133" s="21"/>
      <c r="I133" s="21" t="s">
        <v>32</v>
      </c>
      <c r="J133" s="21" t="s">
        <v>26</v>
      </c>
      <c r="K133" s="20"/>
      <c r="L133" s="20" t="str">
        <f>CONCATENATE(參考!B$1,[資料表詳細]資料表詳細表格[[#This Row],[表名]])</f>
        <v>cmft_role</v>
      </c>
      <c r="M133" s="2" t="str">
        <f>VLOOKUP([資料表詳細]資料表詳細表格[[#This Row],[屬性類型(Postgre)]],選單!$A$3:$B$20,2,FALSE)</f>
        <v>Guid</v>
      </c>
      <c r="N133" s="20" t="str">
        <f>CONCATENATE(參考!B$2,[資料表詳細]資料表詳細表格[[#This Row],[欄位名稱(英)]])</f>
        <v>role_id</v>
      </c>
    </row>
    <row r="134" spans="1:14" s="2" customFormat="1">
      <c r="A134" s="74">
        <v>129</v>
      </c>
      <c r="B134" s="22" t="s">
        <v>19</v>
      </c>
      <c r="C134" s="22" t="s">
        <v>11</v>
      </c>
      <c r="D134" s="19">
        <v>2</v>
      </c>
      <c r="E134" s="20" t="s">
        <v>43</v>
      </c>
      <c r="F134" s="20" t="s">
        <v>42</v>
      </c>
      <c r="G134" s="20" t="s">
        <v>41</v>
      </c>
      <c r="H134" s="21">
        <v>40</v>
      </c>
      <c r="I134" s="21" t="s">
        <v>32</v>
      </c>
      <c r="J134" s="21"/>
      <c r="K134" s="20"/>
      <c r="L134" s="20" t="str">
        <f>CONCATENATE(參考!B$1,[資料表詳細]資料表詳細表格[[#This Row],[表名]])</f>
        <v>cmft_role</v>
      </c>
      <c r="M134" s="2" t="str">
        <f>VLOOKUP([資料表詳細]資料表詳細表格[[#This Row],[屬性類型(Postgre)]],選單!$A$3:$B$20,2,FALSE)</f>
        <v>string</v>
      </c>
      <c r="N134" s="20" t="str">
        <f>CONCATENATE(參考!B$2,[資料表詳細]資料表詳細表格[[#This Row],[欄位名稱(英)]])</f>
        <v>role_name</v>
      </c>
    </row>
    <row r="135" spans="1:14" s="2" customFormat="1">
      <c r="A135" s="74">
        <v>130</v>
      </c>
      <c r="B135" s="22" t="s">
        <v>19</v>
      </c>
      <c r="C135" s="22" t="s">
        <v>11</v>
      </c>
      <c r="D135" s="19">
        <v>3</v>
      </c>
      <c r="E135" s="20" t="s">
        <v>12</v>
      </c>
      <c r="F135" s="20" t="s">
        <v>13</v>
      </c>
      <c r="G135" s="20" t="s">
        <v>76</v>
      </c>
      <c r="H135" s="21"/>
      <c r="I135" s="21" t="s">
        <v>34</v>
      </c>
      <c r="J135" s="21"/>
      <c r="K135" s="20"/>
      <c r="L135" s="20" t="str">
        <f>CONCATENATE(參考!B$1,[資料表詳細]資料表詳細表格[[#This Row],[表名]])</f>
        <v>cmft_role</v>
      </c>
      <c r="M135" s="2" t="str">
        <f>VLOOKUP([資料表詳細]資料表詳細表格[[#This Row],[屬性類型(Postgre)]],選單!$A$3:$B$20,2,FALSE)</f>
        <v>string</v>
      </c>
      <c r="N135" s="20" t="str">
        <f>CONCATENATE(參考!B$2,[資料表詳細]資料表詳細表格[[#This Row],[欄位名稱(英)]])</f>
        <v>description</v>
      </c>
    </row>
    <row r="136" spans="1:14" s="2" customFormat="1">
      <c r="A136" s="74">
        <v>131</v>
      </c>
      <c r="B136" s="22" t="s">
        <v>19</v>
      </c>
      <c r="C136" s="22" t="s">
        <v>11</v>
      </c>
      <c r="D136" s="19">
        <v>4</v>
      </c>
      <c r="E136" s="20" t="s">
        <v>1</v>
      </c>
      <c r="F136" s="20" t="s">
        <v>2</v>
      </c>
      <c r="G136" s="20" t="s">
        <v>41</v>
      </c>
      <c r="H136" s="21">
        <v>20</v>
      </c>
      <c r="I136" s="21" t="s">
        <v>32</v>
      </c>
      <c r="J136" s="21"/>
      <c r="K136" s="20"/>
      <c r="L136" s="20" t="str">
        <f>CONCATENATE(參考!B$1,[資料表詳細]資料表詳細表格[[#This Row],[表名]])</f>
        <v>cmft_role</v>
      </c>
      <c r="M136" s="2" t="str">
        <f>VLOOKUP([資料表詳細]資料表詳細表格[[#This Row],[屬性類型(Postgre)]],選單!$A$3:$B$20,2,FALSE)</f>
        <v>string</v>
      </c>
      <c r="N136" s="20" t="str">
        <f>CONCATENATE(參考!B$2,[資料表詳細]資料表詳細表格[[#This Row],[欄位名稱(英)]])</f>
        <v>ins_user</v>
      </c>
    </row>
    <row r="137" spans="1:14" s="2" customFormat="1">
      <c r="A137" s="74">
        <v>132</v>
      </c>
      <c r="B137" s="22" t="s">
        <v>19</v>
      </c>
      <c r="C137" s="22" t="s">
        <v>11</v>
      </c>
      <c r="D137" s="19">
        <v>5</v>
      </c>
      <c r="E137" s="20" t="s">
        <v>3</v>
      </c>
      <c r="F137" s="20" t="s">
        <v>4</v>
      </c>
      <c r="G137" s="20" t="s">
        <v>77</v>
      </c>
      <c r="H137" s="21"/>
      <c r="I137" s="21" t="s">
        <v>32</v>
      </c>
      <c r="J137" s="21"/>
      <c r="K137" s="20"/>
      <c r="L137" s="20" t="str">
        <f>CONCATENATE(參考!B$1,[資料表詳細]資料表詳細表格[[#This Row],[表名]])</f>
        <v>cmft_role</v>
      </c>
      <c r="M137" s="2" t="str">
        <f>VLOOKUP([資料表詳細]資料表詳細表格[[#This Row],[屬性類型(Postgre)]],選單!$A$3:$B$20,2,FALSE)</f>
        <v>DateTime</v>
      </c>
      <c r="N137" s="20" t="str">
        <f>CONCATENATE(參考!B$2,[資料表詳細]資料表詳細表格[[#This Row],[欄位名稱(英)]])</f>
        <v>ins_time</v>
      </c>
    </row>
    <row r="138" spans="1:14" s="2" customFormat="1">
      <c r="A138" s="74">
        <v>133</v>
      </c>
      <c r="B138" s="22" t="s">
        <v>19</v>
      </c>
      <c r="C138" s="22" t="s">
        <v>11</v>
      </c>
      <c r="D138" s="19">
        <v>6</v>
      </c>
      <c r="E138" s="20" t="s">
        <v>6</v>
      </c>
      <c r="F138" s="20" t="s">
        <v>7</v>
      </c>
      <c r="G138" s="20" t="s">
        <v>41</v>
      </c>
      <c r="H138" s="21">
        <v>20</v>
      </c>
      <c r="I138" s="21" t="s">
        <v>32</v>
      </c>
      <c r="J138" s="21"/>
      <c r="K138" s="20"/>
      <c r="L138" s="20" t="str">
        <f>CONCATENATE(參考!B$1,[資料表詳細]資料表詳細表格[[#This Row],[表名]])</f>
        <v>cmft_role</v>
      </c>
      <c r="M138" s="2" t="str">
        <f>VLOOKUP([資料表詳細]資料表詳細表格[[#This Row],[屬性類型(Postgre)]],選單!$A$3:$B$20,2,FALSE)</f>
        <v>string</v>
      </c>
      <c r="N138" s="20" t="str">
        <f>CONCATENATE(參考!B$2,[資料表詳細]資料表詳細表格[[#This Row],[欄位名稱(英)]])</f>
        <v>upd_user</v>
      </c>
    </row>
    <row r="139" spans="1:14" s="2" customFormat="1">
      <c r="A139" s="74">
        <v>134</v>
      </c>
      <c r="B139" s="22" t="s">
        <v>19</v>
      </c>
      <c r="C139" s="22" t="s">
        <v>11</v>
      </c>
      <c r="D139" s="19">
        <v>7</v>
      </c>
      <c r="E139" s="20" t="s">
        <v>8</v>
      </c>
      <c r="F139" s="20" t="s">
        <v>9</v>
      </c>
      <c r="G139" s="20" t="s">
        <v>77</v>
      </c>
      <c r="H139" s="21"/>
      <c r="I139" s="21" t="s">
        <v>32</v>
      </c>
      <c r="J139" s="21"/>
      <c r="K139" s="20"/>
      <c r="L139" s="20" t="str">
        <f>CONCATENATE(參考!B$1,[資料表詳細]資料表詳細表格[[#This Row],[表名]])</f>
        <v>cmft_role</v>
      </c>
      <c r="M139" s="2" t="str">
        <f>VLOOKUP([資料表詳細]資料表詳細表格[[#This Row],[屬性類型(Postgre)]],選單!$A$3:$B$20,2,FALSE)</f>
        <v>DateTime</v>
      </c>
      <c r="N139" s="20" t="str">
        <f>CONCATENATE(參考!B$2,[資料表詳細]資料表詳細表格[[#This Row],[欄位名稱(英)]])</f>
        <v>upd_time</v>
      </c>
    </row>
    <row r="140" spans="1:14" s="2" customFormat="1">
      <c r="A140" s="74">
        <v>135</v>
      </c>
      <c r="B140" s="22" t="s">
        <v>19</v>
      </c>
      <c r="C140" s="18" t="s">
        <v>51</v>
      </c>
      <c r="D140" s="19">
        <v>1</v>
      </c>
      <c r="E140" s="20" t="s">
        <v>10</v>
      </c>
      <c r="F140" s="20" t="s">
        <v>82</v>
      </c>
      <c r="G140" s="20" t="s">
        <v>71</v>
      </c>
      <c r="H140" s="21"/>
      <c r="I140" s="21" t="s">
        <v>32</v>
      </c>
      <c r="J140" s="21" t="s">
        <v>26</v>
      </c>
      <c r="K140" s="20"/>
      <c r="L140" s="20" t="str">
        <f>CONCATENATE(參考!B$1,[資料表詳細]資料表詳細表格[[#This Row],[表名]])</f>
        <v>cmft_role_auth</v>
      </c>
      <c r="M140" s="2" t="str">
        <f>VLOOKUP([資料表詳細]資料表詳細表格[[#This Row],[屬性類型(Postgre)]],選單!$A$3:$B$20,2,FALSE)</f>
        <v>Guid</v>
      </c>
      <c r="N140" s="20" t="str">
        <f>CONCATENATE(參考!B$2,[資料表詳細]資料表詳細表格[[#This Row],[欄位名稱(英)]])</f>
        <v>role_id</v>
      </c>
    </row>
    <row r="141" spans="1:14" s="2" customFormat="1">
      <c r="A141" s="74">
        <v>136</v>
      </c>
      <c r="B141" s="22" t="s">
        <v>19</v>
      </c>
      <c r="C141" s="22" t="s">
        <v>44</v>
      </c>
      <c r="D141" s="19">
        <v>2</v>
      </c>
      <c r="E141" s="20" t="s">
        <v>97</v>
      </c>
      <c r="F141" s="20" t="s">
        <v>101</v>
      </c>
      <c r="G141" s="20" t="s">
        <v>0</v>
      </c>
      <c r="H141" s="21">
        <v>40</v>
      </c>
      <c r="I141" s="21" t="s">
        <v>102</v>
      </c>
      <c r="J141" s="21" t="s">
        <v>26</v>
      </c>
      <c r="K141" s="20"/>
      <c r="L141" s="20" t="str">
        <f>CONCATENATE(參考!B$1,[資料表詳細]資料表詳細表格[[#This Row],[表名]])</f>
        <v>cmft_role_auth</v>
      </c>
      <c r="M141" s="2" t="str">
        <f>VLOOKUP([資料表詳細]資料表詳細表格[[#This Row],[屬性類型(Postgre)]],選單!$A$3:$B$20,2,FALSE)</f>
        <v>string</v>
      </c>
      <c r="N141" s="20" t="str">
        <f>CONCATENATE(參考!B$2,[資料表詳細]資料表詳細表格[[#This Row],[欄位名稱(英)]])</f>
        <v>oper_id</v>
      </c>
    </row>
    <row r="142" spans="1:14" s="2" customFormat="1">
      <c r="A142" s="74">
        <v>137</v>
      </c>
      <c r="B142" s="22" t="s">
        <v>19</v>
      </c>
      <c r="C142" s="22" t="s">
        <v>44</v>
      </c>
      <c r="D142" s="19">
        <v>3</v>
      </c>
      <c r="E142" s="20" t="s">
        <v>78</v>
      </c>
      <c r="F142" s="20" t="s">
        <v>80</v>
      </c>
      <c r="G142" s="20" t="s">
        <v>100</v>
      </c>
      <c r="H142" s="21"/>
      <c r="I142" s="21" t="s">
        <v>34</v>
      </c>
      <c r="J142" s="21"/>
      <c r="K142" s="20"/>
      <c r="L142" s="20" t="str">
        <f>CONCATENATE(參考!B$1,[資料表詳細]資料表詳細表格[[#This Row],[表名]])</f>
        <v>cmft_role_auth</v>
      </c>
      <c r="M142" s="2" t="str">
        <f>VLOOKUP([資料表詳細]資料表詳細表格[[#This Row],[屬性類型(Postgre)]],選單!$A$3:$B$20,2,FALSE)</f>
        <v>bool</v>
      </c>
      <c r="N142" s="20" t="str">
        <f>CONCATENATE(參考!B$2,[資料表詳細]資料表詳細表格[[#This Row],[欄位名稱(英)]])</f>
        <v>allow_browsing</v>
      </c>
    </row>
    <row r="143" spans="1:14" s="2" customFormat="1">
      <c r="A143" s="74">
        <v>138</v>
      </c>
      <c r="B143" s="22" t="s">
        <v>19</v>
      </c>
      <c r="C143" s="22" t="s">
        <v>44</v>
      </c>
      <c r="D143" s="19">
        <v>4</v>
      </c>
      <c r="E143" s="20" t="s">
        <v>79</v>
      </c>
      <c r="F143" s="20" t="s">
        <v>81</v>
      </c>
      <c r="G143" s="20" t="s">
        <v>100</v>
      </c>
      <c r="H143" s="21"/>
      <c r="I143" s="21" t="s">
        <v>34</v>
      </c>
      <c r="J143" s="21"/>
      <c r="K143" s="20"/>
      <c r="L143" s="20" t="str">
        <f>CONCATENATE(參考!B$1,[資料表詳細]資料表詳細表格[[#This Row],[表名]])</f>
        <v>cmft_role_auth</v>
      </c>
      <c r="M143" s="2" t="str">
        <f>VLOOKUP([資料表詳細]資料表詳細表格[[#This Row],[屬性類型(Postgre)]],選單!$A$3:$B$20,2,FALSE)</f>
        <v>bool</v>
      </c>
      <c r="N143" s="20" t="str">
        <f>CONCATENATE(參考!B$2,[資料表詳細]資料表詳細表格[[#This Row],[欄位名稱(英)]])</f>
        <v>allow_setting</v>
      </c>
    </row>
    <row r="144" spans="1:14" s="2" customFormat="1">
      <c r="A144" s="74">
        <v>139</v>
      </c>
      <c r="B144" s="22" t="s">
        <v>19</v>
      </c>
      <c r="C144" s="22" t="s">
        <v>44</v>
      </c>
      <c r="D144" s="19">
        <v>5</v>
      </c>
      <c r="E144" s="20" t="s">
        <v>1</v>
      </c>
      <c r="F144" s="20" t="s">
        <v>2</v>
      </c>
      <c r="G144" s="20" t="s">
        <v>41</v>
      </c>
      <c r="H144" s="21">
        <v>20</v>
      </c>
      <c r="I144" s="21" t="s">
        <v>32</v>
      </c>
      <c r="J144" s="21"/>
      <c r="K144" s="20"/>
      <c r="L144" s="20" t="str">
        <f>CONCATENATE(參考!B$1,[資料表詳細]資料表詳細表格[[#This Row],[表名]])</f>
        <v>cmft_role_auth</v>
      </c>
      <c r="M144" s="2" t="str">
        <f>VLOOKUP([資料表詳細]資料表詳細表格[[#This Row],[屬性類型(Postgre)]],選單!$A$3:$B$20,2,FALSE)</f>
        <v>string</v>
      </c>
      <c r="N144" s="20" t="str">
        <f>CONCATENATE(參考!B$2,[資料表詳細]資料表詳細表格[[#This Row],[欄位名稱(英)]])</f>
        <v>ins_user</v>
      </c>
    </row>
    <row r="145" spans="1:14" s="2" customFormat="1">
      <c r="A145" s="74">
        <v>140</v>
      </c>
      <c r="B145" s="22" t="s">
        <v>19</v>
      </c>
      <c r="C145" s="22" t="s">
        <v>44</v>
      </c>
      <c r="D145" s="19">
        <v>6</v>
      </c>
      <c r="E145" s="20" t="s">
        <v>3</v>
      </c>
      <c r="F145" s="20" t="s">
        <v>4</v>
      </c>
      <c r="G145" s="20" t="s">
        <v>77</v>
      </c>
      <c r="H145" s="21"/>
      <c r="I145" s="21" t="s">
        <v>32</v>
      </c>
      <c r="J145" s="21"/>
      <c r="K145" s="20"/>
      <c r="L145" s="20" t="str">
        <f>CONCATENATE(參考!B$1,[資料表詳細]資料表詳細表格[[#This Row],[表名]])</f>
        <v>cmft_role_auth</v>
      </c>
      <c r="M145" s="2" t="str">
        <f>VLOOKUP([資料表詳細]資料表詳細表格[[#This Row],[屬性類型(Postgre)]],選單!$A$3:$B$20,2,FALSE)</f>
        <v>DateTime</v>
      </c>
      <c r="N145" s="20" t="str">
        <f>CONCATENATE(參考!B$2,[資料表詳細]資料表詳細表格[[#This Row],[欄位名稱(英)]])</f>
        <v>ins_time</v>
      </c>
    </row>
    <row r="146" spans="1:14" s="2" customFormat="1">
      <c r="A146" s="74">
        <v>141</v>
      </c>
      <c r="B146" s="22" t="s">
        <v>19</v>
      </c>
      <c r="C146" s="22" t="s">
        <v>44</v>
      </c>
      <c r="D146" s="19">
        <v>7</v>
      </c>
      <c r="E146" s="20" t="s">
        <v>6</v>
      </c>
      <c r="F146" s="20" t="s">
        <v>7</v>
      </c>
      <c r="G146" s="20" t="s">
        <v>41</v>
      </c>
      <c r="H146" s="21">
        <v>20</v>
      </c>
      <c r="I146" s="21" t="s">
        <v>32</v>
      </c>
      <c r="J146" s="21"/>
      <c r="K146" s="20"/>
      <c r="L146" s="20" t="str">
        <f>CONCATENATE(參考!B$1,[資料表詳細]資料表詳細表格[[#This Row],[表名]])</f>
        <v>cmft_role_auth</v>
      </c>
      <c r="M146" s="2" t="str">
        <f>VLOOKUP([資料表詳細]資料表詳細表格[[#This Row],[屬性類型(Postgre)]],選單!$A$3:$B$20,2,FALSE)</f>
        <v>string</v>
      </c>
      <c r="N146" s="20" t="str">
        <f>CONCATENATE(參考!B$2,[資料表詳細]資料表詳細表格[[#This Row],[欄位名稱(英)]])</f>
        <v>upd_user</v>
      </c>
    </row>
    <row r="147" spans="1:14" s="2" customFormat="1">
      <c r="A147" s="74">
        <v>142</v>
      </c>
      <c r="B147" s="22" t="s">
        <v>19</v>
      </c>
      <c r="C147" s="22" t="s">
        <v>44</v>
      </c>
      <c r="D147" s="19">
        <v>8</v>
      </c>
      <c r="E147" s="20" t="s">
        <v>8</v>
      </c>
      <c r="F147" s="20" t="s">
        <v>9</v>
      </c>
      <c r="G147" s="20" t="s">
        <v>77</v>
      </c>
      <c r="H147" s="21"/>
      <c r="I147" s="21" t="s">
        <v>32</v>
      </c>
      <c r="J147" s="21"/>
      <c r="K147" s="20"/>
      <c r="L147" s="20" t="str">
        <f>CONCATENATE(參考!B$1,[資料表詳細]資料表詳細表格[[#This Row],[表名]])</f>
        <v>cmft_role_auth</v>
      </c>
      <c r="M147" s="2" t="str">
        <f>VLOOKUP([資料表詳細]資料表詳細表格[[#This Row],[屬性類型(Postgre)]],選單!$A$3:$B$20,2,FALSE)</f>
        <v>DateTime</v>
      </c>
      <c r="N147" s="20" t="str">
        <f>CONCATENATE(參考!B$2,[資料表詳細]資料表詳細表格[[#This Row],[欄位名稱(英)]])</f>
        <v>upd_time</v>
      </c>
    </row>
    <row r="148" spans="1:14" s="2" customFormat="1">
      <c r="A148" s="74">
        <v>143</v>
      </c>
      <c r="B148" s="22" t="s">
        <v>19</v>
      </c>
      <c r="C148" s="18" t="s">
        <v>107</v>
      </c>
      <c r="D148" s="19">
        <v>1</v>
      </c>
      <c r="E148" s="20" t="s">
        <v>108</v>
      </c>
      <c r="F148" s="20" t="s">
        <v>85</v>
      </c>
      <c r="G148" s="20" t="s">
        <v>41</v>
      </c>
      <c r="H148" s="21">
        <v>20</v>
      </c>
      <c r="I148" s="21" t="s">
        <v>32</v>
      </c>
      <c r="J148" s="21" t="s">
        <v>26</v>
      </c>
      <c r="K148" s="20"/>
      <c r="L148" s="20" t="str">
        <f>CONCATENATE(參考!B$1,[資料表詳細]資料表詳細表格[[#This Row],[表名]])</f>
        <v>cmft_account</v>
      </c>
      <c r="M148" s="2" t="str">
        <f>VLOOKUP([資料表詳細]資料表詳細表格[[#This Row],[屬性類型(Postgre)]],選單!$A$3:$B$20,2,FALSE)</f>
        <v>string</v>
      </c>
      <c r="N148" s="20" t="str">
        <f>CONCATENATE(參考!B$2,[資料表詳細]資料表詳細表格[[#This Row],[欄位名稱(英)]])</f>
        <v>account_id</v>
      </c>
    </row>
    <row r="149" spans="1:14" s="2" customFormat="1">
      <c r="A149" s="74">
        <v>144</v>
      </c>
      <c r="B149" s="22" t="s">
        <v>19</v>
      </c>
      <c r="C149" s="22" t="s">
        <v>106</v>
      </c>
      <c r="D149" s="19">
        <v>2</v>
      </c>
      <c r="E149" s="20" t="s">
        <v>109</v>
      </c>
      <c r="F149" s="20" t="s">
        <v>83</v>
      </c>
      <c r="G149" s="20" t="s">
        <v>76</v>
      </c>
      <c r="H149" s="21"/>
      <c r="I149" s="21" t="s">
        <v>32</v>
      </c>
      <c r="J149" s="21"/>
      <c r="K149" s="20"/>
      <c r="L149" s="20" t="str">
        <f>CONCATENATE(參考!B$1,[資料表詳細]資料表詳細表格[[#This Row],[表名]])</f>
        <v>cmft_account</v>
      </c>
      <c r="M149" s="2" t="str">
        <f>VLOOKUP([資料表詳細]資料表詳細表格[[#This Row],[屬性類型(Postgre)]],選單!$A$3:$B$20,2,FALSE)</f>
        <v>string</v>
      </c>
      <c r="N149" s="20" t="str">
        <f>CONCATENATE(參考!B$2,[資料表詳細]資料表詳細表格[[#This Row],[欄位名稱(英)]])</f>
        <v>account_name</v>
      </c>
    </row>
    <row r="150" spans="1:14" s="2" customFormat="1">
      <c r="A150" s="74">
        <v>145</v>
      </c>
      <c r="B150" s="22" t="s">
        <v>19</v>
      </c>
      <c r="C150" s="22" t="s">
        <v>106</v>
      </c>
      <c r="D150" s="19">
        <v>3</v>
      </c>
      <c r="E150" s="20" t="s">
        <v>110</v>
      </c>
      <c r="F150" s="20" t="s">
        <v>15</v>
      </c>
      <c r="G150" s="20" t="s">
        <v>76</v>
      </c>
      <c r="H150" s="21"/>
      <c r="I150" s="21" t="s">
        <v>32</v>
      </c>
      <c r="J150" s="21"/>
      <c r="K150" s="20"/>
      <c r="L150" s="20" t="str">
        <f>CONCATENATE(參考!B$1,[資料表詳細]資料表詳細表格[[#This Row],[表名]])</f>
        <v>cmft_account</v>
      </c>
      <c r="M150" s="2" t="str">
        <f>VLOOKUP([資料表詳細]資料表詳細表格[[#This Row],[屬性類型(Postgre)]],選單!$A$3:$B$20,2,FALSE)</f>
        <v>string</v>
      </c>
      <c r="N150" s="20" t="str">
        <f>CONCATENATE(參考!B$2,[資料表詳細]資料表詳細表格[[#This Row],[欄位名稱(英)]])</f>
        <v>account_password</v>
      </c>
    </row>
    <row r="151" spans="1:14" s="2" customFormat="1">
      <c r="A151" s="74">
        <v>146</v>
      </c>
      <c r="B151" s="22" t="s">
        <v>19</v>
      </c>
      <c r="C151" s="22" t="s">
        <v>106</v>
      </c>
      <c r="D151" s="19">
        <v>4</v>
      </c>
      <c r="E151" s="20" t="s">
        <v>111</v>
      </c>
      <c r="F151" s="20" t="s">
        <v>84</v>
      </c>
      <c r="G151" s="20" t="s">
        <v>76</v>
      </c>
      <c r="H151" s="21"/>
      <c r="I151" s="21" t="s">
        <v>32</v>
      </c>
      <c r="J151" s="21"/>
      <c r="K151" s="20"/>
      <c r="L151" s="20" t="str">
        <f>CONCATENATE(參考!B$1,[資料表詳細]資料表詳細表格[[#This Row],[表名]])</f>
        <v>cmft_account</v>
      </c>
      <c r="M151" s="2" t="str">
        <f>VLOOKUP([資料表詳細]資料表詳細表格[[#This Row],[屬性類型(Postgre)]],選單!$A$3:$B$20,2,FALSE)</f>
        <v>string</v>
      </c>
      <c r="N151" s="20" t="str">
        <f>CONCATENATE(參考!B$2,[資料表詳細]資料表詳細表格[[#This Row],[欄位名稱(英)]])</f>
        <v>account_department</v>
      </c>
    </row>
    <row r="152" spans="1:14" s="2" customFormat="1">
      <c r="A152" s="74">
        <v>147</v>
      </c>
      <c r="B152" s="22" t="s">
        <v>19</v>
      </c>
      <c r="C152" s="22" t="s">
        <v>106</v>
      </c>
      <c r="D152" s="19">
        <v>5</v>
      </c>
      <c r="E152" s="20" t="s">
        <v>10</v>
      </c>
      <c r="F152" s="20" t="s">
        <v>39</v>
      </c>
      <c r="G152" s="20" t="s">
        <v>71</v>
      </c>
      <c r="H152" s="21"/>
      <c r="I152" s="21" t="s">
        <v>32</v>
      </c>
      <c r="J152" s="21"/>
      <c r="K152" s="20"/>
      <c r="L152" s="20" t="str">
        <f>CONCATENATE(參考!B$1,[資料表詳細]資料表詳細表格[[#This Row],[表名]])</f>
        <v>cmft_account</v>
      </c>
      <c r="M152" s="2" t="str">
        <f>VLOOKUP([資料表詳細]資料表詳細表格[[#This Row],[屬性類型(Postgre)]],選單!$A$3:$B$20,2,FALSE)</f>
        <v>Guid</v>
      </c>
      <c r="N152" s="20" t="str">
        <f>CONCATENATE(參考!B$2,[資料表詳細]資料表詳細表格[[#This Row],[欄位名稱(英)]])</f>
        <v>role_id</v>
      </c>
    </row>
    <row r="153" spans="1:14" s="2" customFormat="1">
      <c r="A153" s="74">
        <v>148</v>
      </c>
      <c r="B153" s="22" t="s">
        <v>19</v>
      </c>
      <c r="C153" s="22" t="s">
        <v>106</v>
      </c>
      <c r="D153" s="19">
        <v>6</v>
      </c>
      <c r="E153" s="20" t="s">
        <v>16</v>
      </c>
      <c r="F153" s="20" t="s">
        <v>17</v>
      </c>
      <c r="G153" s="20" t="s">
        <v>100</v>
      </c>
      <c r="H153" s="21"/>
      <c r="I153" s="21" t="s">
        <v>32</v>
      </c>
      <c r="J153" s="21"/>
      <c r="K153" s="20"/>
      <c r="L153" s="20" t="str">
        <f>CONCATENATE(參考!B$1,[資料表詳細]資料表詳細表格[[#This Row],[表名]])</f>
        <v>cmft_account</v>
      </c>
      <c r="M153" s="2" t="str">
        <f>VLOOKUP([資料表詳細]資料表詳細表格[[#This Row],[屬性類型(Postgre)]],選單!$A$3:$B$20,2,FALSE)</f>
        <v>bool</v>
      </c>
      <c r="N153" s="20" t="str">
        <f>CONCATENATE(參考!B$2,[資料表詳細]資料表詳細表格[[#This Row],[欄位名稱(英)]])</f>
        <v>is_enable</v>
      </c>
    </row>
    <row r="154" spans="1:14" s="2" customFormat="1">
      <c r="A154" s="74">
        <v>149</v>
      </c>
      <c r="B154" s="22" t="s">
        <v>19</v>
      </c>
      <c r="C154" s="22" t="s">
        <v>106</v>
      </c>
      <c r="D154" s="19">
        <v>7</v>
      </c>
      <c r="E154" s="20" t="s">
        <v>46</v>
      </c>
      <c r="F154" s="20" t="s">
        <v>47</v>
      </c>
      <c r="G154" s="20" t="s">
        <v>30</v>
      </c>
      <c r="H154" s="21"/>
      <c r="I154" s="21" t="s">
        <v>48</v>
      </c>
      <c r="J154" s="21"/>
      <c r="K154" s="20" t="s">
        <v>49</v>
      </c>
      <c r="L154" s="20" t="str">
        <f>CONCATENATE(參考!B$1,[資料表詳細]資料表詳細表格[[#This Row],[表名]])</f>
        <v>cmft_account</v>
      </c>
      <c r="M154" s="2" t="str">
        <f>VLOOKUP([資料表詳細]資料表詳細表格[[#This Row],[屬性類型(Postgre)]],選單!$A$3:$B$20,2,FALSE)</f>
        <v>int</v>
      </c>
      <c r="N154" s="20" t="str">
        <f>CONCATENATE(參考!B$2,[資料表詳細]資料表詳細表格[[#This Row],[欄位名稱(英)]])</f>
        <v>remain_count</v>
      </c>
    </row>
    <row r="155" spans="1:14" s="2" customFormat="1">
      <c r="A155" s="74">
        <v>150</v>
      </c>
      <c r="B155" s="22" t="s">
        <v>19</v>
      </c>
      <c r="C155" s="22" t="s">
        <v>106</v>
      </c>
      <c r="D155" s="19">
        <v>8</v>
      </c>
      <c r="E155" s="20" t="s">
        <v>1</v>
      </c>
      <c r="F155" s="20" t="s">
        <v>2</v>
      </c>
      <c r="G155" s="20" t="s">
        <v>41</v>
      </c>
      <c r="H155" s="21">
        <v>20</v>
      </c>
      <c r="I155" s="21" t="s">
        <v>32</v>
      </c>
      <c r="J155" s="21"/>
      <c r="K155" s="20"/>
      <c r="L155" s="20" t="str">
        <f>CONCATENATE(參考!B$1,[資料表詳細]資料表詳細表格[[#This Row],[表名]])</f>
        <v>cmft_account</v>
      </c>
      <c r="M155" s="2" t="str">
        <f>VLOOKUP([資料表詳細]資料表詳細表格[[#This Row],[屬性類型(Postgre)]],選單!$A$3:$B$20,2,FALSE)</f>
        <v>string</v>
      </c>
      <c r="N155" s="20" t="str">
        <f>CONCATENATE(參考!B$2,[資料表詳細]資料表詳細表格[[#This Row],[欄位名稱(英)]])</f>
        <v>ins_user</v>
      </c>
    </row>
    <row r="156" spans="1:14" s="2" customFormat="1">
      <c r="A156" s="74">
        <v>151</v>
      </c>
      <c r="B156" s="22" t="s">
        <v>19</v>
      </c>
      <c r="C156" s="22" t="s">
        <v>106</v>
      </c>
      <c r="D156" s="19">
        <v>9</v>
      </c>
      <c r="E156" s="20" t="s">
        <v>3</v>
      </c>
      <c r="F156" s="20" t="s">
        <v>4</v>
      </c>
      <c r="G156" s="20" t="s">
        <v>77</v>
      </c>
      <c r="H156" s="21"/>
      <c r="I156" s="21" t="s">
        <v>32</v>
      </c>
      <c r="J156" s="21"/>
      <c r="K156" s="20"/>
      <c r="L156" s="20" t="str">
        <f>CONCATENATE(參考!B$1,[資料表詳細]資料表詳細表格[[#This Row],[表名]])</f>
        <v>cmft_account</v>
      </c>
      <c r="M156" s="2" t="str">
        <f>VLOOKUP([資料表詳細]資料表詳細表格[[#This Row],[屬性類型(Postgre)]],選單!$A$3:$B$20,2,FALSE)</f>
        <v>DateTime</v>
      </c>
      <c r="N156" s="20" t="str">
        <f>CONCATENATE(參考!B$2,[資料表詳細]資料表詳細表格[[#This Row],[欄位名稱(英)]])</f>
        <v>ins_time</v>
      </c>
    </row>
    <row r="157" spans="1:14" s="2" customFormat="1">
      <c r="A157" s="74">
        <v>152</v>
      </c>
      <c r="B157" s="22" t="s">
        <v>19</v>
      </c>
      <c r="C157" s="22" t="s">
        <v>106</v>
      </c>
      <c r="D157" s="19">
        <v>10</v>
      </c>
      <c r="E157" s="20" t="s">
        <v>6</v>
      </c>
      <c r="F157" s="20" t="s">
        <v>7</v>
      </c>
      <c r="G157" s="20" t="s">
        <v>41</v>
      </c>
      <c r="H157" s="21">
        <v>20</v>
      </c>
      <c r="I157" s="21" t="s">
        <v>32</v>
      </c>
      <c r="J157" s="21"/>
      <c r="K157" s="20"/>
      <c r="L157" s="20" t="str">
        <f>CONCATENATE(參考!B$1,[資料表詳細]資料表詳細表格[[#This Row],[表名]])</f>
        <v>cmft_account</v>
      </c>
      <c r="M157" s="2" t="str">
        <f>VLOOKUP([資料表詳細]資料表詳細表格[[#This Row],[屬性類型(Postgre)]],選單!$A$3:$B$20,2,FALSE)</f>
        <v>string</v>
      </c>
      <c r="N157" s="20" t="str">
        <f>CONCATENATE(參考!B$2,[資料表詳細]資料表詳細表格[[#This Row],[欄位名稱(英)]])</f>
        <v>upd_user</v>
      </c>
    </row>
    <row r="158" spans="1:14" s="2" customFormat="1">
      <c r="A158" s="74">
        <v>153</v>
      </c>
      <c r="B158" s="22" t="s">
        <v>19</v>
      </c>
      <c r="C158" s="22" t="s">
        <v>106</v>
      </c>
      <c r="D158" s="19">
        <v>11</v>
      </c>
      <c r="E158" s="20" t="s">
        <v>8</v>
      </c>
      <c r="F158" s="20" t="s">
        <v>9</v>
      </c>
      <c r="G158" s="20" t="s">
        <v>77</v>
      </c>
      <c r="H158" s="21"/>
      <c r="I158" s="21" t="s">
        <v>32</v>
      </c>
      <c r="J158" s="21"/>
      <c r="K158" s="20"/>
      <c r="L158" s="20" t="str">
        <f>CONCATENATE(參考!B$1,[資料表詳細]資料表詳細表格[[#This Row],[表名]])</f>
        <v>cmft_account</v>
      </c>
      <c r="M158" s="2" t="str">
        <f>VLOOKUP([資料表詳細]資料表詳細表格[[#This Row],[屬性類型(Postgre)]],選單!$A$3:$B$20,2,FALSE)</f>
        <v>DateTime</v>
      </c>
      <c r="N158" s="20" t="str">
        <f>CONCATENATE(參考!B$2,[資料表詳細]資料表詳細表格[[#This Row],[欄位名稱(英)]])</f>
        <v>upd_time</v>
      </c>
    </row>
    <row r="159" spans="1:14">
      <c r="A159" s="74">
        <v>154</v>
      </c>
      <c r="B159" s="18" t="s">
        <v>131</v>
      </c>
      <c r="C159" s="18" t="s">
        <v>323</v>
      </c>
      <c r="D159" s="19">
        <v>1</v>
      </c>
      <c r="E159" s="20" t="s">
        <v>118</v>
      </c>
      <c r="F159" s="20" t="s">
        <v>226</v>
      </c>
      <c r="G159" s="20" t="s">
        <v>0</v>
      </c>
      <c r="H159" s="21">
        <v>10</v>
      </c>
      <c r="I159" s="21" t="s">
        <v>32</v>
      </c>
      <c r="J159" s="21" t="s">
        <v>26</v>
      </c>
      <c r="K159" s="20"/>
      <c r="L159" s="20" t="str">
        <f>CONCATENATE(參考!B$1,[資料表詳細]資料表詳細表格[[#This Row],[表名]])</f>
        <v>pa_target</v>
      </c>
      <c r="M159" s="2" t="str">
        <f>VLOOKUP([資料表詳細]資料表詳細表格[[#This Row],[屬性類型(Postgre)]],選單!$A$3:$B$20,2,FALSE)</f>
        <v>string</v>
      </c>
      <c r="N159" s="20" t="str">
        <f>CONCATENATE(參考!B$2,[資料表詳細]資料表詳細表格[[#This Row],[欄位名稱(英)]])</f>
        <v>station_id</v>
      </c>
    </row>
    <row r="160" spans="1:14">
      <c r="A160" s="74">
        <v>155</v>
      </c>
      <c r="B160" s="22" t="s">
        <v>131</v>
      </c>
      <c r="C160" s="33" t="s">
        <v>323</v>
      </c>
      <c r="D160" s="19">
        <v>2</v>
      </c>
      <c r="E160" s="20" t="s">
        <v>225</v>
      </c>
      <c r="F160" s="20" t="s">
        <v>229</v>
      </c>
      <c r="G160" s="20" t="s">
        <v>41</v>
      </c>
      <c r="H160" s="21">
        <v>10</v>
      </c>
      <c r="I160" s="21" t="s">
        <v>32</v>
      </c>
      <c r="J160" s="21" t="s">
        <v>26</v>
      </c>
      <c r="K160" s="20"/>
      <c r="L160" s="20" t="str">
        <f>CONCATENATE(參考!B$1,[資料表詳細]資料表詳細表格[[#This Row],[表名]])</f>
        <v>pa_target</v>
      </c>
      <c r="M160" s="2" t="str">
        <f>VLOOKUP([資料表詳細]資料表詳細表格[[#This Row],[屬性類型(Postgre)]],選單!$A$3:$B$20,2,FALSE)</f>
        <v>string</v>
      </c>
      <c r="N160" s="20" t="str">
        <f>CONCATENATE(參考!B$2,[資料表詳細]資料表詳細表格[[#This Row],[欄位名稱(英)]])</f>
        <v>area_id</v>
      </c>
    </row>
    <row r="161" spans="1:14">
      <c r="A161" s="74">
        <v>156</v>
      </c>
      <c r="B161" s="22" t="s">
        <v>131</v>
      </c>
      <c r="C161" s="33" t="s">
        <v>323</v>
      </c>
      <c r="D161" s="19">
        <v>6</v>
      </c>
      <c r="E161" s="20" t="s">
        <v>24</v>
      </c>
      <c r="F161" s="20" t="s">
        <v>20</v>
      </c>
      <c r="G161" s="20" t="s">
        <v>14</v>
      </c>
      <c r="H161" s="21"/>
      <c r="I161" s="21" t="s">
        <v>34</v>
      </c>
      <c r="J161" s="21"/>
      <c r="K161" s="20"/>
      <c r="L161" s="20" t="str">
        <f>CONCATENATE(參考!B$1,[資料表詳細]資料表詳細表格[[#This Row],[表名]])</f>
        <v>pa_target</v>
      </c>
      <c r="M161" s="2" t="str">
        <f>VLOOKUP([資料表詳細]資料表詳細表格[[#This Row],[屬性類型(Postgre)]],選單!$A$3:$B$20,2,FALSE)</f>
        <v>string</v>
      </c>
      <c r="N161" s="20" t="str">
        <f>CONCATENATE(參考!B$2,[資料表詳細]資料表詳細表格[[#This Row],[欄位名稱(英)]])</f>
        <v>remark</v>
      </c>
    </row>
    <row r="162" spans="1:14">
      <c r="A162" s="74">
        <v>157</v>
      </c>
      <c r="B162" s="22" t="s">
        <v>131</v>
      </c>
      <c r="C162" s="33" t="s">
        <v>323</v>
      </c>
      <c r="D162" s="19">
        <v>7</v>
      </c>
      <c r="E162" s="20" t="s">
        <v>1</v>
      </c>
      <c r="F162" s="20" t="s">
        <v>2</v>
      </c>
      <c r="G162" s="20" t="s">
        <v>41</v>
      </c>
      <c r="H162" s="21">
        <v>20</v>
      </c>
      <c r="I162" s="21" t="s">
        <v>32</v>
      </c>
      <c r="J162" s="21"/>
      <c r="K162" s="20"/>
      <c r="L162" s="20" t="str">
        <f>CONCATENATE(參考!B$1,[資料表詳細]資料表詳細表格[[#This Row],[表名]])</f>
        <v>pa_target</v>
      </c>
      <c r="M162" s="2" t="str">
        <f>VLOOKUP([資料表詳細]資料表詳細表格[[#This Row],[屬性類型(Postgre)]],選單!$A$3:$B$20,2,FALSE)</f>
        <v>string</v>
      </c>
      <c r="N162" s="20" t="str">
        <f>CONCATENATE(參考!B$2,[資料表詳細]資料表詳細表格[[#This Row],[欄位名稱(英)]])</f>
        <v>ins_user</v>
      </c>
    </row>
    <row r="163" spans="1:14">
      <c r="A163" s="74">
        <v>158</v>
      </c>
      <c r="B163" s="22" t="s">
        <v>131</v>
      </c>
      <c r="C163" s="33" t="s">
        <v>323</v>
      </c>
      <c r="D163" s="19">
        <v>8</v>
      </c>
      <c r="E163" s="20" t="s">
        <v>3</v>
      </c>
      <c r="F163" s="20" t="s">
        <v>4</v>
      </c>
      <c r="G163" s="20" t="s">
        <v>77</v>
      </c>
      <c r="H163" s="21"/>
      <c r="I163" s="21" t="s">
        <v>32</v>
      </c>
      <c r="J163" s="21"/>
      <c r="K163" s="20"/>
      <c r="L163" s="20" t="str">
        <f>CONCATENATE(參考!B$1,[資料表詳細]資料表詳細表格[[#This Row],[表名]])</f>
        <v>pa_target</v>
      </c>
      <c r="M163" s="2" t="str">
        <f>VLOOKUP([資料表詳細]資料表詳細表格[[#This Row],[屬性類型(Postgre)]],選單!$A$3:$B$20,2,FALSE)</f>
        <v>DateTime</v>
      </c>
      <c r="N163" s="20" t="str">
        <f>CONCATENATE(參考!B$2,[資料表詳細]資料表詳細表格[[#This Row],[欄位名稱(英)]])</f>
        <v>ins_time</v>
      </c>
    </row>
    <row r="164" spans="1:14">
      <c r="A164" s="74">
        <v>159</v>
      </c>
      <c r="B164" s="22" t="s">
        <v>131</v>
      </c>
      <c r="C164" s="33" t="s">
        <v>323</v>
      </c>
      <c r="D164" s="19">
        <v>9</v>
      </c>
      <c r="E164" s="20" t="s">
        <v>6</v>
      </c>
      <c r="F164" s="20" t="s">
        <v>7</v>
      </c>
      <c r="G164" s="20" t="s">
        <v>41</v>
      </c>
      <c r="H164" s="21">
        <v>20</v>
      </c>
      <c r="I164" s="21" t="s">
        <v>32</v>
      </c>
      <c r="J164" s="21"/>
      <c r="K164" s="20"/>
      <c r="L164" s="20" t="str">
        <f>CONCATENATE(參考!B$1,[資料表詳細]資料表詳細表格[[#This Row],[表名]])</f>
        <v>pa_target</v>
      </c>
      <c r="M164" s="2" t="str">
        <f>VLOOKUP([資料表詳細]資料表詳細表格[[#This Row],[屬性類型(Postgre)]],選單!$A$3:$B$20,2,FALSE)</f>
        <v>string</v>
      </c>
      <c r="N164" s="20" t="str">
        <f>CONCATENATE(參考!B$2,[資料表詳細]資料表詳細表格[[#This Row],[欄位名稱(英)]])</f>
        <v>upd_user</v>
      </c>
    </row>
    <row r="165" spans="1:14">
      <c r="A165" s="74">
        <v>160</v>
      </c>
      <c r="B165" s="22" t="s">
        <v>131</v>
      </c>
      <c r="C165" s="33" t="s">
        <v>323</v>
      </c>
      <c r="D165" s="19">
        <v>10</v>
      </c>
      <c r="E165" s="20" t="s">
        <v>8</v>
      </c>
      <c r="F165" s="20" t="s">
        <v>9</v>
      </c>
      <c r="G165" s="20" t="s">
        <v>77</v>
      </c>
      <c r="H165" s="21"/>
      <c r="I165" s="21" t="s">
        <v>32</v>
      </c>
      <c r="J165" s="21"/>
      <c r="K165" s="20"/>
      <c r="L165" s="20" t="str">
        <f>CONCATENATE(參考!B$1,[資料表詳細]資料表詳細表格[[#This Row],[表名]])</f>
        <v>pa_target</v>
      </c>
      <c r="M165" s="2" t="str">
        <f>VLOOKUP([資料表詳細]資料表詳細表格[[#This Row],[屬性類型(Postgre)]],選單!$A$3:$B$20,2,FALSE)</f>
        <v>DateTime</v>
      </c>
      <c r="N165" s="20" t="str">
        <f>CONCATENATE(參考!B$2,[資料表詳細]資料表詳細表格[[#This Row],[欄位名稱(英)]])</f>
        <v>upd_time</v>
      </c>
    </row>
    <row r="166" spans="1:14">
      <c r="A166" s="74">
        <v>161</v>
      </c>
      <c r="B166" s="22" t="s">
        <v>131</v>
      </c>
      <c r="C166" s="18" t="s">
        <v>317</v>
      </c>
      <c r="D166" s="19">
        <v>1</v>
      </c>
      <c r="E166" s="20" t="s">
        <v>236</v>
      </c>
      <c r="F166" s="20" t="s">
        <v>238</v>
      </c>
      <c r="G166" s="20" t="s">
        <v>71</v>
      </c>
      <c r="H166" s="21"/>
      <c r="I166" s="21" t="s">
        <v>32</v>
      </c>
      <c r="J166" s="21" t="s">
        <v>26</v>
      </c>
      <c r="K166" s="20"/>
      <c r="L166" s="20" t="str">
        <f>CONCATENATE(參考!B$1,[資料表詳細]資料表詳細表格[[#This Row],[表名]])</f>
        <v>pa_group</v>
      </c>
      <c r="M166" s="18" t="str">
        <f>VLOOKUP([資料表詳細]資料表詳細表格[[#This Row],[屬性類型(Postgre)]],選單!$A$3:$B$20,2,FALSE)</f>
        <v>Guid</v>
      </c>
      <c r="N166" s="20" t="str">
        <f>CONCATENATE(參考!B$2,[資料表詳細]資料表詳細表格[[#This Row],[欄位名稱(英)]])</f>
        <v>group_id</v>
      </c>
    </row>
    <row r="167" spans="1:14">
      <c r="A167" s="74">
        <v>162</v>
      </c>
      <c r="B167" s="22" t="s">
        <v>131</v>
      </c>
      <c r="C167" s="33" t="s">
        <v>317</v>
      </c>
      <c r="D167" s="19">
        <v>2</v>
      </c>
      <c r="E167" s="20" t="s">
        <v>237</v>
      </c>
      <c r="F167" s="20" t="s">
        <v>239</v>
      </c>
      <c r="G167" s="20" t="s">
        <v>0</v>
      </c>
      <c r="H167" s="21">
        <v>40</v>
      </c>
      <c r="I167" s="21" t="s">
        <v>32</v>
      </c>
      <c r="J167" s="21"/>
      <c r="K167" s="20"/>
      <c r="L167" s="20" t="str">
        <f>CONCATENATE(參考!B$1,[資料表詳細]資料表詳細表格[[#This Row],[表名]])</f>
        <v>pa_group</v>
      </c>
      <c r="M167" s="18" t="str">
        <f>VLOOKUP([資料表詳細]資料表詳細表格[[#This Row],[屬性類型(Postgre)]],選單!$A$3:$B$20,2,FALSE)</f>
        <v>string</v>
      </c>
      <c r="N167" s="20" t="str">
        <f>CONCATENATE(參考!B$2,[資料表詳細]資料表詳細表格[[#This Row],[欄位名稱(英)]])</f>
        <v>group_name</v>
      </c>
    </row>
    <row r="168" spans="1:14">
      <c r="A168" s="74">
        <v>163</v>
      </c>
      <c r="B168" s="22" t="s">
        <v>131</v>
      </c>
      <c r="C168" s="33" t="s">
        <v>317</v>
      </c>
      <c r="D168" s="19">
        <v>3</v>
      </c>
      <c r="E168" s="20" t="s">
        <v>240</v>
      </c>
      <c r="F168" s="20" t="s">
        <v>241</v>
      </c>
      <c r="G168" s="20" t="s">
        <v>14</v>
      </c>
      <c r="H168" s="21"/>
      <c r="I168" s="21" t="s">
        <v>34</v>
      </c>
      <c r="J168" s="21"/>
      <c r="K168" s="20"/>
      <c r="L168" s="20" t="str">
        <f>CONCATENATE(參考!B$1,[資料表詳細]資料表詳細表格[[#This Row],[表名]])</f>
        <v>pa_group</v>
      </c>
      <c r="M168" s="18" t="str">
        <f>VLOOKUP([資料表詳細]資料表詳細表格[[#This Row],[屬性類型(Postgre)]],選單!$A$3:$B$20,2,FALSE)</f>
        <v>string</v>
      </c>
      <c r="N168" s="20" t="str">
        <f>CONCATENATE(參考!B$2,[資料表詳細]資料表詳細表格[[#This Row],[欄位名稱(英)]])</f>
        <v>group_description</v>
      </c>
    </row>
    <row r="169" spans="1:14">
      <c r="A169" s="74">
        <v>164</v>
      </c>
      <c r="B169" s="22" t="s">
        <v>131</v>
      </c>
      <c r="C169" s="33" t="s">
        <v>317</v>
      </c>
      <c r="D169" s="19">
        <v>6</v>
      </c>
      <c r="E169" s="20" t="s">
        <v>1</v>
      </c>
      <c r="F169" s="20" t="s">
        <v>2</v>
      </c>
      <c r="G169" s="20" t="s">
        <v>41</v>
      </c>
      <c r="H169" s="21">
        <v>20</v>
      </c>
      <c r="I169" s="21" t="s">
        <v>32</v>
      </c>
      <c r="J169" s="21"/>
      <c r="K169" s="20"/>
      <c r="L169" s="20" t="str">
        <f>CONCATENATE(參考!B$1,[資料表詳細]資料表詳細表格[[#This Row],[表名]])</f>
        <v>pa_group</v>
      </c>
      <c r="M169" s="18" t="str">
        <f>VLOOKUP([資料表詳細]資料表詳細表格[[#This Row],[屬性類型(Postgre)]],選單!$A$3:$B$20,2,FALSE)</f>
        <v>string</v>
      </c>
      <c r="N169" s="20" t="str">
        <f>CONCATENATE(參考!B$2,[資料表詳細]資料表詳細表格[[#This Row],[欄位名稱(英)]])</f>
        <v>ins_user</v>
      </c>
    </row>
    <row r="170" spans="1:14">
      <c r="A170" s="74">
        <v>165</v>
      </c>
      <c r="B170" s="22" t="s">
        <v>131</v>
      </c>
      <c r="C170" s="33" t="s">
        <v>317</v>
      </c>
      <c r="D170" s="19">
        <v>7</v>
      </c>
      <c r="E170" s="20" t="s">
        <v>3</v>
      </c>
      <c r="F170" s="20" t="s">
        <v>4</v>
      </c>
      <c r="G170" s="20" t="s">
        <v>77</v>
      </c>
      <c r="H170" s="21"/>
      <c r="I170" s="21" t="s">
        <v>32</v>
      </c>
      <c r="J170" s="21"/>
      <c r="K170" s="20"/>
      <c r="L170" s="20" t="str">
        <f>CONCATENATE(參考!B$1,[資料表詳細]資料表詳細表格[[#This Row],[表名]])</f>
        <v>pa_group</v>
      </c>
      <c r="M170" s="18" t="str">
        <f>VLOOKUP([資料表詳細]資料表詳細表格[[#This Row],[屬性類型(Postgre)]],選單!$A$3:$B$20,2,FALSE)</f>
        <v>DateTime</v>
      </c>
      <c r="N170" s="20" t="str">
        <f>CONCATENATE(參考!B$2,[資料表詳細]資料表詳細表格[[#This Row],[欄位名稱(英)]])</f>
        <v>ins_time</v>
      </c>
    </row>
    <row r="171" spans="1:14">
      <c r="A171" s="74">
        <v>166</v>
      </c>
      <c r="B171" s="22" t="s">
        <v>131</v>
      </c>
      <c r="C171" s="33" t="s">
        <v>317</v>
      </c>
      <c r="D171" s="19">
        <v>8</v>
      </c>
      <c r="E171" s="20" t="s">
        <v>6</v>
      </c>
      <c r="F171" s="20" t="s">
        <v>7</v>
      </c>
      <c r="G171" s="20" t="s">
        <v>41</v>
      </c>
      <c r="H171" s="21">
        <v>20</v>
      </c>
      <c r="I171" s="21" t="s">
        <v>32</v>
      </c>
      <c r="J171" s="21"/>
      <c r="K171" s="20"/>
      <c r="L171" s="20" t="str">
        <f>CONCATENATE(參考!B$1,[資料表詳細]資料表詳細表格[[#This Row],[表名]])</f>
        <v>pa_group</v>
      </c>
      <c r="M171" s="18" t="str">
        <f>VLOOKUP([資料表詳細]資料表詳細表格[[#This Row],[屬性類型(Postgre)]],選單!$A$3:$B$20,2,FALSE)</f>
        <v>string</v>
      </c>
      <c r="N171" s="20" t="str">
        <f>CONCATENATE(參考!B$2,[資料表詳細]資料表詳細表格[[#This Row],[欄位名稱(英)]])</f>
        <v>upd_user</v>
      </c>
    </row>
    <row r="172" spans="1:14">
      <c r="A172" s="74">
        <v>167</v>
      </c>
      <c r="B172" s="22" t="s">
        <v>131</v>
      </c>
      <c r="C172" s="33" t="s">
        <v>317</v>
      </c>
      <c r="D172" s="19">
        <v>9</v>
      </c>
      <c r="E172" s="20" t="s">
        <v>8</v>
      </c>
      <c r="F172" s="20" t="s">
        <v>9</v>
      </c>
      <c r="G172" s="20" t="s">
        <v>77</v>
      </c>
      <c r="H172" s="21"/>
      <c r="I172" s="21" t="s">
        <v>32</v>
      </c>
      <c r="J172" s="21"/>
      <c r="K172" s="20"/>
      <c r="L172" s="20" t="str">
        <f>CONCATENATE(參考!B$1,[資料表詳細]資料表詳細表格[[#This Row],[表名]])</f>
        <v>pa_group</v>
      </c>
      <c r="M172" s="18" t="str">
        <f>VLOOKUP([資料表詳細]資料表詳細表格[[#This Row],[屬性類型(Postgre)]],選單!$A$3:$B$20,2,FALSE)</f>
        <v>DateTime</v>
      </c>
      <c r="N172" s="20" t="str">
        <f>CONCATENATE(參考!B$2,[資料表詳細]資料表詳細表格[[#This Row],[欄位名稱(英)]])</f>
        <v>upd_time</v>
      </c>
    </row>
    <row r="173" spans="1:14">
      <c r="A173" s="74">
        <v>168</v>
      </c>
      <c r="B173" s="22" t="s">
        <v>131</v>
      </c>
      <c r="C173" s="18" t="s">
        <v>318</v>
      </c>
      <c r="D173" s="19">
        <v>1</v>
      </c>
      <c r="E173" s="20" t="s">
        <v>236</v>
      </c>
      <c r="F173" s="20" t="s">
        <v>238</v>
      </c>
      <c r="G173" s="20" t="s">
        <v>71</v>
      </c>
      <c r="H173" s="21"/>
      <c r="I173" s="21" t="s">
        <v>32</v>
      </c>
      <c r="J173" s="21" t="s">
        <v>26</v>
      </c>
      <c r="K173" s="20"/>
      <c r="L173" s="20" t="str">
        <f>CONCATENATE(參考!B$1,[資料表詳細]資料表詳細表格[[#This Row],[表名]])</f>
        <v>pa_group_target</v>
      </c>
      <c r="M173" s="18" t="str">
        <f>VLOOKUP([資料表詳細]資料表詳細表格[[#This Row],[屬性類型(Postgre)]],選單!$A$3:$B$20,2,FALSE)</f>
        <v>Guid</v>
      </c>
      <c r="N173" s="20" t="str">
        <f>CONCATENATE(參考!B$2,[資料表詳細]資料表詳細表格[[#This Row],[欄位名稱(英)]])</f>
        <v>group_id</v>
      </c>
    </row>
    <row r="174" spans="1:14">
      <c r="A174" s="74">
        <v>169</v>
      </c>
      <c r="B174" s="22" t="s">
        <v>131</v>
      </c>
      <c r="C174" s="33" t="s">
        <v>318</v>
      </c>
      <c r="D174" s="19">
        <v>2</v>
      </c>
      <c r="E174" s="20" t="s">
        <v>118</v>
      </c>
      <c r="F174" s="20" t="s">
        <v>227</v>
      </c>
      <c r="G174" s="20" t="s">
        <v>0</v>
      </c>
      <c r="H174" s="21">
        <v>10</v>
      </c>
      <c r="I174" s="21" t="s">
        <v>32</v>
      </c>
      <c r="J174" s="21" t="s">
        <v>26</v>
      </c>
      <c r="K174" s="20"/>
      <c r="L174" s="20" t="str">
        <f>CONCATENATE(參考!B$1,[資料表詳細]資料表詳細表格[[#This Row],[表名]])</f>
        <v>pa_group_target</v>
      </c>
      <c r="M174" s="18" t="str">
        <f>VLOOKUP([資料表詳細]資料表詳細表格[[#This Row],[屬性類型(Postgre)]],選單!$A$3:$B$20,2,FALSE)</f>
        <v>string</v>
      </c>
      <c r="N174" s="20" t="str">
        <f>CONCATENATE(參考!B$2,[資料表詳細]資料表詳細表格[[#This Row],[欄位名稱(英)]])</f>
        <v>station_id</v>
      </c>
    </row>
    <row r="175" spans="1:14">
      <c r="A175" s="74">
        <v>170</v>
      </c>
      <c r="B175" s="22" t="s">
        <v>131</v>
      </c>
      <c r="C175" s="33" t="s">
        <v>318</v>
      </c>
      <c r="D175" s="19">
        <v>3</v>
      </c>
      <c r="E175" s="20" t="s">
        <v>221</v>
      </c>
      <c r="F175" s="20" t="s">
        <v>229</v>
      </c>
      <c r="G175" s="20" t="s">
        <v>41</v>
      </c>
      <c r="H175" s="21">
        <v>10</v>
      </c>
      <c r="I175" s="21" t="s">
        <v>32</v>
      </c>
      <c r="J175" s="21" t="s">
        <v>26</v>
      </c>
      <c r="K175" s="20"/>
      <c r="L175" s="20" t="str">
        <f>CONCATENATE(參考!B$1,[資料表詳細]資料表詳細表格[[#This Row],[表名]])</f>
        <v>pa_group_target</v>
      </c>
      <c r="M175" s="18" t="str">
        <f>VLOOKUP([資料表詳細]資料表詳細表格[[#This Row],[屬性類型(Postgre)]],選單!$A$3:$B$20,2,FALSE)</f>
        <v>string</v>
      </c>
      <c r="N175" s="20" t="str">
        <f>CONCATENATE(參考!B$2,[資料表詳細]資料表詳細表格[[#This Row],[欄位名稱(英)]])</f>
        <v>area_id</v>
      </c>
    </row>
    <row r="176" spans="1:14">
      <c r="A176" s="74">
        <v>171</v>
      </c>
      <c r="B176" s="22" t="s">
        <v>131</v>
      </c>
      <c r="C176" s="33" t="s">
        <v>318</v>
      </c>
      <c r="D176" s="19">
        <v>4</v>
      </c>
      <c r="E176" s="20" t="s">
        <v>1</v>
      </c>
      <c r="F176" s="20" t="s">
        <v>2</v>
      </c>
      <c r="G176" s="20" t="s">
        <v>41</v>
      </c>
      <c r="H176" s="21">
        <v>20</v>
      </c>
      <c r="I176" s="21" t="s">
        <v>32</v>
      </c>
      <c r="J176" s="21"/>
      <c r="K176" s="20"/>
      <c r="L176" s="20" t="str">
        <f>CONCATENATE(參考!B$1,[資料表詳細]資料表詳細表格[[#This Row],[表名]])</f>
        <v>pa_group_target</v>
      </c>
      <c r="M176" s="18" t="str">
        <f>VLOOKUP([資料表詳細]資料表詳細表格[[#This Row],[屬性類型(Postgre)]],選單!$A$3:$B$20,2,FALSE)</f>
        <v>string</v>
      </c>
      <c r="N176" s="20" t="str">
        <f>CONCATENATE(參考!B$2,[資料表詳細]資料表詳細表格[[#This Row],[欄位名稱(英)]])</f>
        <v>ins_user</v>
      </c>
    </row>
    <row r="177" spans="1:14">
      <c r="A177" s="74">
        <v>172</v>
      </c>
      <c r="B177" s="22" t="s">
        <v>131</v>
      </c>
      <c r="C177" s="33" t="s">
        <v>318</v>
      </c>
      <c r="D177" s="19">
        <v>5</v>
      </c>
      <c r="E177" s="20" t="s">
        <v>3</v>
      </c>
      <c r="F177" s="20" t="s">
        <v>4</v>
      </c>
      <c r="G177" s="20" t="s">
        <v>77</v>
      </c>
      <c r="H177" s="21"/>
      <c r="I177" s="21" t="s">
        <v>32</v>
      </c>
      <c r="J177" s="21"/>
      <c r="K177" s="20"/>
      <c r="L177" s="20" t="str">
        <f>CONCATENATE(參考!B$1,[資料表詳細]資料表詳細表格[[#This Row],[表名]])</f>
        <v>pa_group_target</v>
      </c>
      <c r="M177" s="18" t="str">
        <f>VLOOKUP([資料表詳細]資料表詳細表格[[#This Row],[屬性類型(Postgre)]],選單!$A$3:$B$20,2,FALSE)</f>
        <v>DateTime</v>
      </c>
      <c r="N177" s="20" t="str">
        <f>CONCATENATE(參考!B$2,[資料表詳細]資料表詳細表格[[#This Row],[欄位名稱(英)]])</f>
        <v>ins_time</v>
      </c>
    </row>
    <row r="178" spans="1:14">
      <c r="A178" s="74">
        <v>173</v>
      </c>
      <c r="B178" s="22" t="s">
        <v>131</v>
      </c>
      <c r="C178" s="33" t="s">
        <v>318</v>
      </c>
      <c r="D178" s="19">
        <v>6</v>
      </c>
      <c r="E178" s="20" t="s">
        <v>6</v>
      </c>
      <c r="F178" s="20" t="s">
        <v>7</v>
      </c>
      <c r="G178" s="20" t="s">
        <v>41</v>
      </c>
      <c r="H178" s="21">
        <v>20</v>
      </c>
      <c r="I178" s="21" t="s">
        <v>32</v>
      </c>
      <c r="J178" s="21"/>
      <c r="K178" s="20"/>
      <c r="L178" s="20" t="str">
        <f>CONCATENATE(參考!B$1,[資料表詳細]資料表詳細表格[[#This Row],[表名]])</f>
        <v>pa_group_target</v>
      </c>
      <c r="M178" s="18" t="str">
        <f>VLOOKUP([資料表詳細]資料表詳細表格[[#This Row],[屬性類型(Postgre)]],選單!$A$3:$B$20,2,FALSE)</f>
        <v>string</v>
      </c>
      <c r="N178" s="20" t="str">
        <f>CONCATENATE(參考!B$2,[資料表詳細]資料表詳細表格[[#This Row],[欄位名稱(英)]])</f>
        <v>upd_user</v>
      </c>
    </row>
    <row r="179" spans="1:14">
      <c r="A179" s="74">
        <v>174</v>
      </c>
      <c r="B179" s="22" t="s">
        <v>131</v>
      </c>
      <c r="C179" s="33" t="s">
        <v>318</v>
      </c>
      <c r="D179" s="19">
        <v>7</v>
      </c>
      <c r="E179" s="20" t="s">
        <v>8</v>
      </c>
      <c r="F179" s="20" t="s">
        <v>9</v>
      </c>
      <c r="G179" s="20" t="s">
        <v>77</v>
      </c>
      <c r="H179" s="21"/>
      <c r="I179" s="21" t="s">
        <v>32</v>
      </c>
      <c r="J179" s="21"/>
      <c r="K179" s="20"/>
      <c r="L179" s="20" t="str">
        <f>CONCATENATE(參考!B$1,[資料表詳細]資料表詳細表格[[#This Row],[表名]])</f>
        <v>pa_group_target</v>
      </c>
      <c r="M179" s="18" t="str">
        <f>VLOOKUP([資料表詳細]資料表詳細表格[[#This Row],[屬性類型(Postgre)]],選單!$A$3:$B$20,2,FALSE)</f>
        <v>DateTime</v>
      </c>
      <c r="N179" s="20" t="str">
        <f>CONCATENATE(參考!B$2,[資料表詳細]資料表詳細表格[[#This Row],[欄位名稱(英)]])</f>
        <v>upd_time</v>
      </c>
    </row>
    <row r="180" spans="1:14">
      <c r="A180" s="74">
        <v>175</v>
      </c>
      <c r="B180" s="22" t="s">
        <v>131</v>
      </c>
      <c r="C180" s="18" t="s">
        <v>324</v>
      </c>
      <c r="D180" s="19">
        <v>1</v>
      </c>
      <c r="E180" s="20" t="s">
        <v>326</v>
      </c>
      <c r="F180" s="20" t="s">
        <v>327</v>
      </c>
      <c r="G180" s="20" t="s">
        <v>0</v>
      </c>
      <c r="H180" s="21">
        <v>5</v>
      </c>
      <c r="I180" s="21" t="s">
        <v>32</v>
      </c>
      <c r="J180" s="21" t="s">
        <v>26</v>
      </c>
      <c r="K180" s="20"/>
      <c r="L180" s="20" t="str">
        <f>CONCATENATE(參考!B$1,[資料表詳細]資料表詳細表格[[#This Row],[表名]])</f>
        <v>pa_pre_record_voice</v>
      </c>
      <c r="M180" s="18" t="str">
        <f>VLOOKUP([資料表詳細]資料表詳細表格[[#This Row],[屬性類型(Postgre)]],選單!$A$3:$B$20,2,FALSE)</f>
        <v>string</v>
      </c>
      <c r="N180" s="20" t="str">
        <f>CONCATENATE(參考!B$2,[資料表詳細]資料表詳細表格[[#This Row],[欄位名稱(英)]])</f>
        <v>folder_id</v>
      </c>
    </row>
    <row r="181" spans="1:14">
      <c r="A181" s="74">
        <v>176</v>
      </c>
      <c r="B181" s="22" t="s">
        <v>131</v>
      </c>
      <c r="C181" s="33" t="s">
        <v>324</v>
      </c>
      <c r="D181" s="19">
        <v>2</v>
      </c>
      <c r="E181" s="20" t="s">
        <v>339</v>
      </c>
      <c r="F181" s="20" t="s">
        <v>342</v>
      </c>
      <c r="G181" s="20" t="s">
        <v>130</v>
      </c>
      <c r="H181" s="21"/>
      <c r="I181" s="21" t="s">
        <v>32</v>
      </c>
      <c r="J181" s="21"/>
      <c r="K181" s="23" t="s">
        <v>345</v>
      </c>
      <c r="L181" s="20" t="str">
        <f>CONCATENATE(參考!B$1,[資料表詳細]資料表詳細表格[[#This Row],[表名]])</f>
        <v>pa_pre_record_voice</v>
      </c>
      <c r="M181" s="18" t="str">
        <f>VLOOKUP([資料表詳細]資料表詳細表格[[#This Row],[屬性類型(Postgre)]],選單!$A$3:$B$20,2,FALSE)</f>
        <v>int</v>
      </c>
      <c r="N181" s="20" t="str">
        <f>CONCATENATE(參考!B$2,[資料表詳細]資料表詳細表格[[#This Row],[欄位名稱(英)]])</f>
        <v>voice_type</v>
      </c>
    </row>
    <row r="182" spans="1:14">
      <c r="A182" s="74">
        <v>177</v>
      </c>
      <c r="B182" s="22" t="s">
        <v>131</v>
      </c>
      <c r="C182" s="33" t="s">
        <v>324</v>
      </c>
      <c r="D182" s="19">
        <v>3</v>
      </c>
      <c r="E182" s="20" t="s">
        <v>341</v>
      </c>
      <c r="F182" s="20" t="s">
        <v>260</v>
      </c>
      <c r="G182" s="20" t="s">
        <v>130</v>
      </c>
      <c r="H182" s="21"/>
      <c r="I182" s="21" t="s">
        <v>32</v>
      </c>
      <c r="J182" s="21"/>
      <c r="K182" s="20" t="s">
        <v>278</v>
      </c>
      <c r="L182" s="20" t="str">
        <f>CONCATENATE(參考!B$1,[資料表詳細]資料表詳細表格[[#This Row],[表名]])</f>
        <v>pa_pre_record_voice</v>
      </c>
      <c r="M182" s="18" t="str">
        <f>VLOOKUP([資料表詳細]資料表詳細表格[[#This Row],[屬性類型(Postgre)]],選單!$A$3:$B$20,2,FALSE)</f>
        <v>int</v>
      </c>
      <c r="N182" s="20" t="str">
        <f>CONCATENATE(參考!B$2,[資料表詳細]資料表詳細表格[[#This Row],[欄位名稱(英)]])</f>
        <v>voice_priority</v>
      </c>
    </row>
    <row r="183" spans="1:14">
      <c r="A183" s="74">
        <v>178</v>
      </c>
      <c r="B183" s="22" t="s">
        <v>131</v>
      </c>
      <c r="C183" s="33" t="s">
        <v>324</v>
      </c>
      <c r="D183" s="19">
        <v>4</v>
      </c>
      <c r="E183" s="20" t="s">
        <v>778</v>
      </c>
      <c r="F183" s="20" t="s">
        <v>777</v>
      </c>
      <c r="G183" s="20" t="s">
        <v>41</v>
      </c>
      <c r="H183" s="21">
        <v>60</v>
      </c>
      <c r="I183" s="21" t="s">
        <v>32</v>
      </c>
      <c r="J183" s="21"/>
      <c r="K183" s="20"/>
      <c r="L183" s="20" t="str">
        <f>CONCATENATE(參考!B$1,[資料表詳細]資料表詳細表格[[#This Row],[表名]])</f>
        <v>pa_pre_record_voice</v>
      </c>
      <c r="M183" s="18" t="str">
        <f>VLOOKUP([資料表詳細]資料表詳細表格[[#This Row],[屬性類型(Postgre)]],選單!$A$3:$B$20,2,FALSE)</f>
        <v>string</v>
      </c>
      <c r="N183" s="20" t="str">
        <f>CONCATENATE(參考!B$2,[資料表詳細]資料表詳細表格[[#This Row],[欄位名稱(英)]])</f>
        <v>voice_name</v>
      </c>
    </row>
    <row r="184" spans="1:14">
      <c r="A184" s="74">
        <v>179</v>
      </c>
      <c r="B184" s="22" t="s">
        <v>131</v>
      </c>
      <c r="C184" s="33" t="s">
        <v>324</v>
      </c>
      <c r="D184" s="19">
        <v>5</v>
      </c>
      <c r="E184" s="20" t="s">
        <v>329</v>
      </c>
      <c r="F184" s="20" t="s">
        <v>330</v>
      </c>
      <c r="G184" s="20" t="s">
        <v>0</v>
      </c>
      <c r="H184" s="21">
        <v>14</v>
      </c>
      <c r="I184" s="21" t="s">
        <v>32</v>
      </c>
      <c r="J184" s="21"/>
      <c r="K184" s="20"/>
      <c r="L184" s="20" t="str">
        <f>CONCATENATE(參考!B$1,[資料表詳細]資料表詳細表格[[#This Row],[表名]])</f>
        <v>pa_pre_record_voice</v>
      </c>
      <c r="M184" s="18" t="str">
        <f>VLOOKUP([資料表詳細]資料表詳細表格[[#This Row],[屬性類型(Postgre)]],選單!$A$3:$B$20,2,FALSE)</f>
        <v>string</v>
      </c>
      <c r="N184" s="20" t="str">
        <f>CONCATENATE(參考!B$2,[資料表詳細]資料表詳細表格[[#This Row],[欄位名稱(英)]])</f>
        <v>version</v>
      </c>
    </row>
    <row r="185" spans="1:14">
      <c r="A185" s="74">
        <v>180</v>
      </c>
      <c r="B185" s="22" t="s">
        <v>131</v>
      </c>
      <c r="C185" s="33" t="s">
        <v>324</v>
      </c>
      <c r="D185" s="19">
        <v>6</v>
      </c>
      <c r="E185" s="20" t="s">
        <v>328</v>
      </c>
      <c r="F185" s="20" t="s">
        <v>301</v>
      </c>
      <c r="G185" s="20" t="s">
        <v>100</v>
      </c>
      <c r="H185" s="21"/>
      <c r="I185" s="21" t="s">
        <v>32</v>
      </c>
      <c r="J185" s="21"/>
      <c r="K185" s="20"/>
      <c r="L185" s="20" t="str">
        <f>CONCATENATE(參考!B$1,[資料表詳細]資料表詳細表格[[#This Row],[表名]])</f>
        <v>pa_pre_record_voice</v>
      </c>
      <c r="M185" s="18" t="str">
        <f>VLOOKUP([資料表詳細]資料表詳細表格[[#This Row],[屬性類型(Postgre)]],選單!$A$3:$B$20,2,FALSE)</f>
        <v>bool</v>
      </c>
      <c r="N185" s="20" t="str">
        <f>CONCATENATE(參考!B$2,[資料表詳細]資料表詳細表格[[#This Row],[欄位名稱(英)]])</f>
        <v>status</v>
      </c>
    </row>
    <row r="186" spans="1:14">
      <c r="A186" s="74">
        <v>181</v>
      </c>
      <c r="B186" s="22" t="s">
        <v>131</v>
      </c>
      <c r="C186" s="33" t="s">
        <v>324</v>
      </c>
      <c r="D186" s="19">
        <v>7</v>
      </c>
      <c r="E186" s="20" t="s">
        <v>354</v>
      </c>
      <c r="F186" s="20" t="s">
        <v>355</v>
      </c>
      <c r="G186" s="20" t="s">
        <v>0</v>
      </c>
      <c r="H186" s="21">
        <v>10</v>
      </c>
      <c r="I186" s="21" t="s">
        <v>356</v>
      </c>
      <c r="J186" s="21"/>
      <c r="K186" s="20"/>
      <c r="L186" s="20" t="str">
        <f>CONCATENATE(參考!B$1,[資料表詳細]資料表詳細表格[[#This Row],[表名]])</f>
        <v>pa_pre_record_voice</v>
      </c>
      <c r="M186" s="18" t="str">
        <f>VLOOKUP([資料表詳細]資料表詳細表格[[#This Row],[屬性類型(Postgre)]],選單!$A$3:$B$20,2,FALSE)</f>
        <v>string</v>
      </c>
      <c r="N186" s="20" t="str">
        <f>CONCATENATE(參考!B$2,[資料表詳細]資料表詳細表格[[#This Row],[欄位名稱(英)]])</f>
        <v>file_type</v>
      </c>
    </row>
    <row r="187" spans="1:14">
      <c r="A187" s="74">
        <v>182</v>
      </c>
      <c r="B187" s="22" t="s">
        <v>131</v>
      </c>
      <c r="C187" s="33" t="s">
        <v>324</v>
      </c>
      <c r="D187" s="19">
        <v>8</v>
      </c>
      <c r="E187" s="20" t="s">
        <v>331</v>
      </c>
      <c r="F187" s="20" t="s">
        <v>357</v>
      </c>
      <c r="G187" s="20" t="s">
        <v>0</v>
      </c>
      <c r="H187" s="21">
        <v>20</v>
      </c>
      <c r="I187" s="21" t="s">
        <v>32</v>
      </c>
      <c r="J187" s="21"/>
      <c r="K187" s="20"/>
      <c r="L187" s="20" t="str">
        <f>CONCATENATE(參考!B$1,[資料表詳細]資料表詳細表格[[#This Row],[表名]])</f>
        <v>pa_pre_record_voice</v>
      </c>
      <c r="M187" s="18" t="str">
        <f>VLOOKUP([資料表詳細]資料表詳細表格[[#This Row],[屬性類型(Postgre)]],選單!$A$3:$B$20,2,FALSE)</f>
        <v>string</v>
      </c>
      <c r="N187" s="20" t="str">
        <f>CONCATENATE(參考!B$2,[資料表詳細]資料表詳細表格[[#This Row],[欄位名稱(英)]])</f>
        <v>file_name</v>
      </c>
    </row>
    <row r="188" spans="1:14">
      <c r="A188" s="74">
        <v>183</v>
      </c>
      <c r="B188" s="22" t="s">
        <v>131</v>
      </c>
      <c r="C188" s="33" t="s">
        <v>324</v>
      </c>
      <c r="D188" s="19">
        <v>9</v>
      </c>
      <c r="E188" s="20" t="s">
        <v>340</v>
      </c>
      <c r="F188" s="20" t="s">
        <v>332</v>
      </c>
      <c r="G188" s="20" t="s">
        <v>14</v>
      </c>
      <c r="H188" s="21"/>
      <c r="I188" s="21" t="s">
        <v>34</v>
      </c>
      <c r="J188" s="21"/>
      <c r="K188" s="20"/>
      <c r="L188" s="20" t="str">
        <f>CONCATENATE(參考!B$1,[資料表詳細]資料表詳細表格[[#This Row],[表名]])</f>
        <v>pa_pre_record_voice</v>
      </c>
      <c r="M188" s="18" t="str">
        <f>VLOOKUP([資料表詳細]資料表詳細表格[[#This Row],[屬性類型(Postgre)]],選單!$A$3:$B$20,2,FALSE)</f>
        <v>string</v>
      </c>
      <c r="N188" s="20" t="str">
        <f>CONCATENATE(參考!B$2,[資料表詳細]資料表詳細表格[[#This Row],[欄位名稱(英)]])</f>
        <v>voice_content</v>
      </c>
    </row>
    <row r="189" spans="1:14">
      <c r="A189" s="74">
        <v>184</v>
      </c>
      <c r="B189" s="22" t="s">
        <v>131</v>
      </c>
      <c r="C189" s="33" t="s">
        <v>324</v>
      </c>
      <c r="D189" s="19">
        <v>10</v>
      </c>
      <c r="E189" s="20" t="s">
        <v>346</v>
      </c>
      <c r="F189" s="20" t="s">
        <v>333</v>
      </c>
      <c r="G189" s="20" t="s">
        <v>100</v>
      </c>
      <c r="H189" s="21"/>
      <c r="I189" s="21" t="s">
        <v>32</v>
      </c>
      <c r="J189" s="21"/>
      <c r="K189" s="20"/>
      <c r="L189" s="20" t="str">
        <f>CONCATENATE(參考!B$1,[資料表詳細]資料表詳細表格[[#This Row],[表名]])</f>
        <v>pa_pre_record_voice</v>
      </c>
      <c r="M189" s="18" t="str">
        <f>VLOOKUP([資料表詳細]資料表詳細表格[[#This Row],[屬性類型(Postgre)]],選單!$A$3:$B$20,2,FALSE)</f>
        <v>bool</v>
      </c>
      <c r="N189" s="20" t="str">
        <f>CONCATENATE(參考!B$2,[資料表詳細]資料表詳細表格[[#This Row],[欄位名稱(英)]])</f>
        <v>include_chinese</v>
      </c>
    </row>
    <row r="190" spans="1:14">
      <c r="A190" s="74">
        <v>185</v>
      </c>
      <c r="B190" s="22" t="s">
        <v>131</v>
      </c>
      <c r="C190" s="33" t="s">
        <v>324</v>
      </c>
      <c r="D190" s="19">
        <v>11</v>
      </c>
      <c r="E190" s="20" t="s">
        <v>334</v>
      </c>
      <c r="F190" s="20" t="s">
        <v>335</v>
      </c>
      <c r="G190" s="20" t="s">
        <v>100</v>
      </c>
      <c r="H190" s="21"/>
      <c r="I190" s="21" t="s">
        <v>32</v>
      </c>
      <c r="J190" s="21"/>
      <c r="K190" s="20"/>
      <c r="L190" s="20" t="str">
        <f>CONCATENATE(參考!B$1,[資料表詳細]資料表詳細表格[[#This Row],[表名]])</f>
        <v>pa_pre_record_voice</v>
      </c>
      <c r="M190" s="18" t="str">
        <f>VLOOKUP([資料表詳細]資料表詳細表格[[#This Row],[屬性類型(Postgre)]],選單!$A$3:$B$20,2,FALSE)</f>
        <v>bool</v>
      </c>
      <c r="N190" s="20" t="str">
        <f>CONCATENATE(參考!B$2,[資料表詳細]資料表詳細表格[[#This Row],[欄位名稱(英)]])</f>
        <v>include_english</v>
      </c>
    </row>
    <row r="191" spans="1:14">
      <c r="A191" s="74">
        <v>186</v>
      </c>
      <c r="B191" s="22" t="s">
        <v>131</v>
      </c>
      <c r="C191" s="33" t="s">
        <v>324</v>
      </c>
      <c r="D191" s="19">
        <v>12</v>
      </c>
      <c r="E191" s="20" t="s">
        <v>344</v>
      </c>
      <c r="F191" s="20" t="s">
        <v>336</v>
      </c>
      <c r="G191" s="20" t="s">
        <v>100</v>
      </c>
      <c r="H191" s="21"/>
      <c r="I191" s="21" t="s">
        <v>32</v>
      </c>
      <c r="J191" s="21"/>
      <c r="K191" s="20"/>
      <c r="L191" s="20" t="str">
        <f>CONCATENATE(參考!B$1,[資料表詳細]資料表詳細表格[[#This Row],[表名]])</f>
        <v>pa_pre_record_voice</v>
      </c>
      <c r="M191" s="18" t="str">
        <f>VLOOKUP([資料表詳細]資料表詳細表格[[#This Row],[屬性類型(Postgre)]],選單!$A$3:$B$20,2,FALSE)</f>
        <v>bool</v>
      </c>
      <c r="N191" s="20" t="str">
        <f>CONCATENATE(參考!B$2,[資料表詳細]資料表詳細表格[[#This Row],[欄位名稱(英)]])</f>
        <v>include_taiwanese</v>
      </c>
    </row>
    <row r="192" spans="1:14">
      <c r="A192" s="74">
        <v>187</v>
      </c>
      <c r="B192" s="22" t="s">
        <v>131</v>
      </c>
      <c r="C192" s="33" t="s">
        <v>324</v>
      </c>
      <c r="D192" s="19">
        <v>13</v>
      </c>
      <c r="E192" s="20" t="s">
        <v>337</v>
      </c>
      <c r="F192" s="20" t="s">
        <v>338</v>
      </c>
      <c r="G192" s="20" t="s">
        <v>100</v>
      </c>
      <c r="H192" s="21"/>
      <c r="I192" s="21" t="s">
        <v>32</v>
      </c>
      <c r="J192" s="21"/>
      <c r="K192" s="20"/>
      <c r="L192" s="20" t="str">
        <f>CONCATENATE(參考!B$1,[資料表詳細]資料表詳細表格[[#This Row],[表名]])</f>
        <v>pa_pre_record_voice</v>
      </c>
      <c r="M192" s="18" t="str">
        <f>VLOOKUP([資料表詳細]資料表詳細表格[[#This Row],[屬性類型(Postgre)]],選單!$A$3:$B$20,2,FALSE)</f>
        <v>bool</v>
      </c>
      <c r="N192" s="20" t="str">
        <f>CONCATENATE(參考!B$2,[資料表詳細]資料表詳細表格[[#This Row],[欄位名稱(英)]])</f>
        <v>include_hakka</v>
      </c>
    </row>
    <row r="193" spans="1:14">
      <c r="A193" s="74">
        <v>188</v>
      </c>
      <c r="B193" s="22" t="s">
        <v>131</v>
      </c>
      <c r="C193" s="33" t="s">
        <v>324</v>
      </c>
      <c r="D193" s="19">
        <v>14</v>
      </c>
      <c r="E193" s="20" t="s">
        <v>1</v>
      </c>
      <c r="F193" s="20" t="s">
        <v>2</v>
      </c>
      <c r="G193" s="20" t="s">
        <v>41</v>
      </c>
      <c r="H193" s="21">
        <v>20</v>
      </c>
      <c r="I193" s="21" t="s">
        <v>32</v>
      </c>
      <c r="J193" s="21"/>
      <c r="K193" s="20"/>
      <c r="L193" s="20" t="str">
        <f>CONCATENATE(參考!B$1,[資料表詳細]資料表詳細表格[[#This Row],[表名]])</f>
        <v>pa_pre_record_voice</v>
      </c>
      <c r="M193" s="18" t="str">
        <f>VLOOKUP([資料表詳細]資料表詳細表格[[#This Row],[屬性類型(Postgre)]],選單!$A$3:$B$20,2,FALSE)</f>
        <v>string</v>
      </c>
      <c r="N193" s="20" t="str">
        <f>CONCATENATE(參考!B$2,[資料表詳細]資料表詳細表格[[#This Row],[欄位名稱(英)]])</f>
        <v>ins_user</v>
      </c>
    </row>
    <row r="194" spans="1:14">
      <c r="A194" s="74">
        <v>189</v>
      </c>
      <c r="B194" s="22" t="s">
        <v>131</v>
      </c>
      <c r="C194" s="33" t="s">
        <v>324</v>
      </c>
      <c r="D194" s="19">
        <v>15</v>
      </c>
      <c r="E194" s="20" t="s">
        <v>3</v>
      </c>
      <c r="F194" s="20" t="s">
        <v>4</v>
      </c>
      <c r="G194" s="20" t="s">
        <v>77</v>
      </c>
      <c r="H194" s="21"/>
      <c r="I194" s="21" t="s">
        <v>32</v>
      </c>
      <c r="J194" s="21"/>
      <c r="K194" s="20"/>
      <c r="L194" s="20" t="str">
        <f>CONCATENATE(參考!B$1,[資料表詳細]資料表詳細表格[[#This Row],[表名]])</f>
        <v>pa_pre_record_voice</v>
      </c>
      <c r="M194" s="18" t="str">
        <f>VLOOKUP([資料表詳細]資料表詳細表格[[#This Row],[屬性類型(Postgre)]],選單!$A$3:$B$20,2,FALSE)</f>
        <v>DateTime</v>
      </c>
      <c r="N194" s="20" t="str">
        <f>CONCATENATE(參考!B$2,[資料表詳細]資料表詳細表格[[#This Row],[欄位名稱(英)]])</f>
        <v>ins_time</v>
      </c>
    </row>
    <row r="195" spans="1:14">
      <c r="A195" s="74">
        <v>190</v>
      </c>
      <c r="B195" s="22" t="s">
        <v>131</v>
      </c>
      <c r="C195" s="33" t="s">
        <v>324</v>
      </c>
      <c r="D195" s="19">
        <v>16</v>
      </c>
      <c r="E195" s="20" t="s">
        <v>6</v>
      </c>
      <c r="F195" s="20" t="s">
        <v>7</v>
      </c>
      <c r="G195" s="20" t="s">
        <v>41</v>
      </c>
      <c r="H195" s="21">
        <v>20</v>
      </c>
      <c r="I195" s="21" t="s">
        <v>32</v>
      </c>
      <c r="J195" s="21"/>
      <c r="K195" s="20"/>
      <c r="L195" s="20" t="str">
        <f>CONCATENATE(參考!B$1,[資料表詳細]資料表詳細表格[[#This Row],[表名]])</f>
        <v>pa_pre_record_voice</v>
      </c>
      <c r="M195" s="18" t="str">
        <f>VLOOKUP([資料表詳細]資料表詳細表格[[#This Row],[屬性類型(Postgre)]],選單!$A$3:$B$20,2,FALSE)</f>
        <v>string</v>
      </c>
      <c r="N195" s="20" t="str">
        <f>CONCATENATE(參考!B$2,[資料表詳細]資料表詳細表格[[#This Row],[欄位名稱(英)]])</f>
        <v>upd_user</v>
      </c>
    </row>
    <row r="196" spans="1:14">
      <c r="A196" s="74">
        <v>191</v>
      </c>
      <c r="B196" s="22" t="s">
        <v>131</v>
      </c>
      <c r="C196" s="33" t="s">
        <v>324</v>
      </c>
      <c r="D196" s="19">
        <v>17</v>
      </c>
      <c r="E196" s="20" t="s">
        <v>8</v>
      </c>
      <c r="F196" s="20" t="s">
        <v>9</v>
      </c>
      <c r="G196" s="20" t="s">
        <v>77</v>
      </c>
      <c r="H196" s="21"/>
      <c r="I196" s="21" t="s">
        <v>32</v>
      </c>
      <c r="J196" s="21"/>
      <c r="K196" s="20"/>
      <c r="L196" s="20" t="str">
        <f>CONCATENATE(參考!B$1,[資料表詳細]資料表詳細表格[[#This Row],[表名]])</f>
        <v>pa_pre_record_voice</v>
      </c>
      <c r="M196" s="18" t="str">
        <f>VLOOKUP([資料表詳細]資料表詳細表格[[#This Row],[屬性類型(Postgre)]],選單!$A$3:$B$20,2,FALSE)</f>
        <v>DateTime</v>
      </c>
      <c r="N196" s="20" t="str">
        <f>CONCATENATE(參考!B$2,[資料表詳細]資料表詳細表格[[#This Row],[欄位名稱(英)]])</f>
        <v>upd_time</v>
      </c>
    </row>
    <row r="197" spans="1:14">
      <c r="A197" s="74">
        <v>192</v>
      </c>
      <c r="B197" s="22" t="s">
        <v>131</v>
      </c>
      <c r="C197" s="18" t="s">
        <v>361</v>
      </c>
      <c r="D197" s="19">
        <v>1</v>
      </c>
      <c r="E197" s="18" t="s">
        <v>295</v>
      </c>
      <c r="F197" s="20" t="s">
        <v>299</v>
      </c>
      <c r="G197" s="20" t="s">
        <v>71</v>
      </c>
      <c r="H197" s="21"/>
      <c r="I197" s="21" t="s">
        <v>32</v>
      </c>
      <c r="J197" s="21" t="s">
        <v>26</v>
      </c>
      <c r="K197" s="20"/>
      <c r="L197" s="20" t="str">
        <f>CONCATENATE(參考!B$1,[資料表詳細]資料表詳細表格[[#This Row],[表名]])</f>
        <v>pa_schedule</v>
      </c>
      <c r="M197" s="18" t="str">
        <f>VLOOKUP([資料表詳細]資料表詳細表格[[#This Row],[屬性類型(Postgre)]],選單!$A$3:$B$20,2,FALSE)</f>
        <v>Guid</v>
      </c>
      <c r="N197" s="20" t="str">
        <f>CONCATENATE(參考!B$2,[資料表詳細]資料表詳細表格[[#This Row],[欄位名稱(英)]])</f>
        <v>schedule_id</v>
      </c>
    </row>
    <row r="198" spans="1:14">
      <c r="A198" s="74">
        <v>193</v>
      </c>
      <c r="B198" s="22" t="s">
        <v>131</v>
      </c>
      <c r="C198" s="33" t="s">
        <v>361</v>
      </c>
      <c r="D198" s="19">
        <v>2</v>
      </c>
      <c r="E198" s="18" t="s">
        <v>296</v>
      </c>
      <c r="F198" s="20" t="s">
        <v>300</v>
      </c>
      <c r="G198" s="20" t="s">
        <v>41</v>
      </c>
      <c r="H198" s="21">
        <v>40</v>
      </c>
      <c r="I198" s="21" t="s">
        <v>32</v>
      </c>
      <c r="J198" s="21"/>
      <c r="K198" s="20"/>
      <c r="L198" s="20" t="str">
        <f>CONCATENATE(參考!B$1,[資料表詳細]資料表詳細表格[[#This Row],[表名]])</f>
        <v>pa_schedule</v>
      </c>
      <c r="M198" s="18" t="str">
        <f>VLOOKUP([資料表詳細]資料表詳細表格[[#This Row],[屬性類型(Postgre)]],選單!$A$3:$B$20,2,FALSE)</f>
        <v>string</v>
      </c>
      <c r="N198" s="20" t="str">
        <f>CONCATENATE(參考!B$2,[資料表詳細]資料表詳細表格[[#This Row],[欄位名稱(英)]])</f>
        <v>schedule_name</v>
      </c>
    </row>
    <row r="199" spans="1:14">
      <c r="A199" s="74">
        <v>194</v>
      </c>
      <c r="B199" s="22" t="s">
        <v>131</v>
      </c>
      <c r="C199" s="33" t="s">
        <v>361</v>
      </c>
      <c r="D199" s="19">
        <v>3</v>
      </c>
      <c r="E199" s="18" t="s">
        <v>16</v>
      </c>
      <c r="F199" s="20" t="s">
        <v>301</v>
      </c>
      <c r="G199" s="20" t="s">
        <v>100</v>
      </c>
      <c r="H199" s="21"/>
      <c r="I199" s="21" t="s">
        <v>32</v>
      </c>
      <c r="J199" s="21"/>
      <c r="K199" s="20"/>
      <c r="L199" s="20" t="str">
        <f>CONCATENATE(參考!B$1,[資料表詳細]資料表詳細表格[[#This Row],[表名]])</f>
        <v>pa_schedule</v>
      </c>
      <c r="M199" s="18" t="str">
        <f>VLOOKUP([資料表詳細]資料表詳細表格[[#This Row],[屬性類型(Postgre)]],選單!$A$3:$B$20,2,FALSE)</f>
        <v>bool</v>
      </c>
      <c r="N199" s="20" t="str">
        <f>CONCATENATE(參考!B$2,[資料表詳細]資料表詳細表格[[#This Row],[欄位名稱(英)]])</f>
        <v>is_enable</v>
      </c>
    </row>
    <row r="200" spans="1:14">
      <c r="A200" s="74">
        <v>195</v>
      </c>
      <c r="B200" s="22" t="s">
        <v>131</v>
      </c>
      <c r="C200" s="33" t="s">
        <v>361</v>
      </c>
      <c r="D200" s="19">
        <v>4</v>
      </c>
      <c r="E200" s="18" t="s">
        <v>297</v>
      </c>
      <c r="F200" s="20" t="s">
        <v>302</v>
      </c>
      <c r="G200" s="20" t="s">
        <v>5</v>
      </c>
      <c r="H200" s="21"/>
      <c r="I200" s="21" t="s">
        <v>34</v>
      </c>
      <c r="J200" s="21"/>
      <c r="K200" s="20"/>
      <c r="L200" s="20" t="str">
        <f>CONCATENATE(參考!B$1,[資料表詳細]資料表詳細表格[[#This Row],[表名]])</f>
        <v>pa_schedule</v>
      </c>
      <c r="M200" s="18" t="str">
        <f>VLOOKUP([資料表詳細]資料表詳細表格[[#This Row],[屬性類型(Postgre)]],選單!$A$3:$B$20,2,FALSE)</f>
        <v>DateTime</v>
      </c>
      <c r="N200" s="20" t="str">
        <f>CONCATENATE(參考!B$2,[資料表詳細]資料表詳細表格[[#This Row],[欄位名稱(英)]])</f>
        <v>start_date</v>
      </c>
    </row>
    <row r="201" spans="1:14">
      <c r="A201" s="74">
        <v>196</v>
      </c>
      <c r="B201" s="22" t="s">
        <v>131</v>
      </c>
      <c r="C201" s="33" t="s">
        <v>361</v>
      </c>
      <c r="D201" s="19">
        <v>5</v>
      </c>
      <c r="E201" s="18" t="s">
        <v>298</v>
      </c>
      <c r="F201" s="20" t="s">
        <v>303</v>
      </c>
      <c r="G201" s="20" t="s">
        <v>5</v>
      </c>
      <c r="H201" s="21"/>
      <c r="I201" s="21" t="s">
        <v>34</v>
      </c>
      <c r="J201" s="21"/>
      <c r="K201" s="20"/>
      <c r="L201" s="20" t="str">
        <f>CONCATENATE(參考!B$1,[資料表詳細]資料表詳細表格[[#This Row],[表名]])</f>
        <v>pa_schedule</v>
      </c>
      <c r="M201" s="18" t="str">
        <f>VLOOKUP([資料表詳細]資料表詳細表格[[#This Row],[屬性類型(Postgre)]],選單!$A$3:$B$20,2,FALSE)</f>
        <v>DateTime</v>
      </c>
      <c r="N201" s="20" t="str">
        <f>CONCATENATE(參考!B$2,[資料表詳細]資料表詳細表格[[#This Row],[欄位名稱(英)]])</f>
        <v>end_date</v>
      </c>
    </row>
    <row r="202" spans="1:14">
      <c r="A202" s="74">
        <v>197</v>
      </c>
      <c r="B202" s="22" t="s">
        <v>131</v>
      </c>
      <c r="C202" s="33" t="s">
        <v>361</v>
      </c>
      <c r="D202" s="19">
        <v>6</v>
      </c>
      <c r="E202" s="18" t="s">
        <v>1</v>
      </c>
      <c r="F202" s="20" t="s">
        <v>2</v>
      </c>
      <c r="G202" s="20" t="s">
        <v>41</v>
      </c>
      <c r="H202" s="21">
        <v>20</v>
      </c>
      <c r="I202" s="21" t="s">
        <v>32</v>
      </c>
      <c r="J202" s="21"/>
      <c r="K202" s="20"/>
      <c r="L202" s="20" t="str">
        <f>CONCATENATE(參考!B$1,[資料表詳細]資料表詳細表格[[#This Row],[表名]])</f>
        <v>pa_schedule</v>
      </c>
      <c r="M202" s="18" t="str">
        <f>VLOOKUP([資料表詳細]資料表詳細表格[[#This Row],[屬性類型(Postgre)]],選單!$A$3:$B$20,2,FALSE)</f>
        <v>string</v>
      </c>
      <c r="N202" s="20" t="str">
        <f>CONCATENATE(參考!B$2,[資料表詳細]資料表詳細表格[[#This Row],[欄位名稱(英)]])</f>
        <v>ins_user</v>
      </c>
    </row>
    <row r="203" spans="1:14">
      <c r="A203" s="74">
        <v>198</v>
      </c>
      <c r="B203" s="22" t="s">
        <v>131</v>
      </c>
      <c r="C203" s="33" t="s">
        <v>361</v>
      </c>
      <c r="D203" s="19">
        <v>7</v>
      </c>
      <c r="E203" s="18" t="s">
        <v>3</v>
      </c>
      <c r="F203" s="20" t="s">
        <v>4</v>
      </c>
      <c r="G203" s="20" t="s">
        <v>5</v>
      </c>
      <c r="H203" s="21"/>
      <c r="I203" s="21" t="s">
        <v>32</v>
      </c>
      <c r="J203" s="21"/>
      <c r="K203" s="20"/>
      <c r="L203" s="20" t="str">
        <f>CONCATENATE(參考!B$1,[資料表詳細]資料表詳細表格[[#This Row],[表名]])</f>
        <v>pa_schedule</v>
      </c>
      <c r="M203" s="18" t="str">
        <f>VLOOKUP([資料表詳細]資料表詳細表格[[#This Row],[屬性類型(Postgre)]],選單!$A$3:$B$20,2,FALSE)</f>
        <v>DateTime</v>
      </c>
      <c r="N203" s="20" t="str">
        <f>CONCATENATE(參考!B$2,[資料表詳細]資料表詳細表格[[#This Row],[欄位名稱(英)]])</f>
        <v>ins_time</v>
      </c>
    </row>
    <row r="204" spans="1:14">
      <c r="A204" s="74">
        <v>199</v>
      </c>
      <c r="B204" s="22" t="s">
        <v>131</v>
      </c>
      <c r="C204" s="33" t="s">
        <v>361</v>
      </c>
      <c r="D204" s="19">
        <v>8</v>
      </c>
      <c r="E204" s="18" t="s">
        <v>6</v>
      </c>
      <c r="F204" s="20" t="s">
        <v>7</v>
      </c>
      <c r="G204" s="20" t="s">
        <v>41</v>
      </c>
      <c r="H204" s="21">
        <v>20</v>
      </c>
      <c r="I204" s="21" t="s">
        <v>32</v>
      </c>
      <c r="J204" s="21"/>
      <c r="K204" s="20"/>
      <c r="L204" s="20" t="str">
        <f>CONCATENATE(參考!B$1,[資料表詳細]資料表詳細表格[[#This Row],[表名]])</f>
        <v>pa_schedule</v>
      </c>
      <c r="M204" s="18" t="str">
        <f>VLOOKUP([資料表詳細]資料表詳細表格[[#This Row],[屬性類型(Postgre)]],選單!$A$3:$B$20,2,FALSE)</f>
        <v>string</v>
      </c>
      <c r="N204" s="20" t="str">
        <f>CONCATENATE(參考!B$2,[資料表詳細]資料表詳細表格[[#This Row],[欄位名稱(英)]])</f>
        <v>upd_user</v>
      </c>
    </row>
    <row r="205" spans="1:14">
      <c r="A205" s="74">
        <v>200</v>
      </c>
      <c r="B205" s="22" t="s">
        <v>131</v>
      </c>
      <c r="C205" s="33" t="s">
        <v>361</v>
      </c>
      <c r="D205" s="19">
        <v>9</v>
      </c>
      <c r="E205" s="18" t="s">
        <v>8</v>
      </c>
      <c r="F205" s="20" t="s">
        <v>9</v>
      </c>
      <c r="G205" s="20" t="s">
        <v>77</v>
      </c>
      <c r="H205" s="21"/>
      <c r="I205" s="21" t="s">
        <v>32</v>
      </c>
      <c r="J205" s="21"/>
      <c r="K205" s="20"/>
      <c r="L205" s="20" t="str">
        <f>CONCATENATE(參考!B$1,[資料表詳細]資料表詳細表格[[#This Row],[表名]])</f>
        <v>pa_schedule</v>
      </c>
      <c r="M205" s="18" t="str">
        <f>VLOOKUP([資料表詳細]資料表詳細表格[[#This Row],[屬性類型(Postgre)]],選單!$A$3:$B$20,2,FALSE)</f>
        <v>DateTime</v>
      </c>
      <c r="N205" s="20" t="str">
        <f>CONCATENATE(參考!B$2,[資料表詳細]資料表詳細表格[[#This Row],[欄位名稱(英)]])</f>
        <v>upd_time</v>
      </c>
    </row>
    <row r="206" spans="1:14">
      <c r="A206" s="74">
        <v>201</v>
      </c>
      <c r="B206" s="22" t="s">
        <v>131</v>
      </c>
      <c r="C206" s="18" t="s">
        <v>363</v>
      </c>
      <c r="D206" s="19">
        <v>1</v>
      </c>
      <c r="E206" s="18" t="s">
        <v>295</v>
      </c>
      <c r="F206" s="20" t="s">
        <v>299</v>
      </c>
      <c r="G206" s="20" t="s">
        <v>71</v>
      </c>
      <c r="H206" s="21"/>
      <c r="I206" s="21" t="s">
        <v>32</v>
      </c>
      <c r="J206" s="21" t="s">
        <v>26</v>
      </c>
      <c r="K206" s="20"/>
      <c r="L206" s="20" t="str">
        <f>CONCATENATE(參考!B$1,[資料表詳細]資料表詳細表格[[#This Row],[表名]])</f>
        <v>pa_schedule_playlist</v>
      </c>
      <c r="M206" s="18" t="str">
        <f>VLOOKUP([資料表詳細]資料表詳細表格[[#This Row],[屬性類型(Postgre)]],選單!$A$3:$B$20,2,FALSE)</f>
        <v>Guid</v>
      </c>
      <c r="N206" s="20" t="str">
        <f>CONCATENATE(參考!B$2,[資料表詳細]資料表詳細表格[[#This Row],[欄位名稱(英)]])</f>
        <v>schedule_id</v>
      </c>
    </row>
    <row r="207" spans="1:14">
      <c r="A207" s="74">
        <v>202</v>
      </c>
      <c r="B207" s="22" t="s">
        <v>131</v>
      </c>
      <c r="C207" s="33" t="s">
        <v>363</v>
      </c>
      <c r="D207" s="19">
        <v>2</v>
      </c>
      <c r="E207" s="20" t="s">
        <v>352</v>
      </c>
      <c r="F207" s="20" t="s">
        <v>327</v>
      </c>
      <c r="G207" s="20" t="s">
        <v>0</v>
      </c>
      <c r="H207" s="21">
        <v>5</v>
      </c>
      <c r="I207" s="21" t="s">
        <v>32</v>
      </c>
      <c r="J207" s="21" t="s">
        <v>26</v>
      </c>
      <c r="K207" s="20"/>
      <c r="L207" s="20" t="str">
        <f>CONCATENATE(參考!B$1,[資料表詳細]資料表詳細表格[[#This Row],[表名]])</f>
        <v>pa_schedule_playlist</v>
      </c>
      <c r="M207" s="18" t="str">
        <f>VLOOKUP([資料表詳細]資料表詳細表格[[#This Row],[屬性類型(Postgre)]],選單!$A$3:$B$20,2,FALSE)</f>
        <v>string</v>
      </c>
      <c r="N207" s="20" t="str">
        <f>CONCATENATE(參考!B$2,[資料表詳細]資料表詳細表格[[#This Row],[欄位名稱(英)]])</f>
        <v>folder_id</v>
      </c>
    </row>
    <row r="208" spans="1:14">
      <c r="A208" s="74">
        <v>203</v>
      </c>
      <c r="B208" s="22" t="s">
        <v>131</v>
      </c>
      <c r="C208" s="33" t="s">
        <v>363</v>
      </c>
      <c r="D208" s="19">
        <v>3</v>
      </c>
      <c r="E208" s="20" t="s">
        <v>118</v>
      </c>
      <c r="F208" s="20" t="s">
        <v>216</v>
      </c>
      <c r="G208" s="20" t="s">
        <v>0</v>
      </c>
      <c r="H208" s="21">
        <v>10</v>
      </c>
      <c r="I208" s="21" t="s">
        <v>32</v>
      </c>
      <c r="J208" s="21" t="s">
        <v>26</v>
      </c>
      <c r="K208" s="20"/>
      <c r="L208" s="20" t="str">
        <f>CONCATENATE(參考!B$1,[資料表詳細]資料表詳細表格[[#This Row],[表名]])</f>
        <v>pa_schedule_playlist</v>
      </c>
      <c r="M208" s="18" t="str">
        <f>VLOOKUP([資料表詳細]資料表詳細表格[[#This Row],[屬性類型(Postgre)]],選單!$A$3:$B$20,2,FALSE)</f>
        <v>string</v>
      </c>
      <c r="N208" s="20" t="str">
        <f>CONCATENATE(參考!B$2,[資料表詳細]資料表詳細表格[[#This Row],[欄位名稱(英)]])</f>
        <v>station_id</v>
      </c>
    </row>
    <row r="209" spans="1:14">
      <c r="A209" s="74">
        <v>204</v>
      </c>
      <c r="B209" s="22" t="s">
        <v>131</v>
      </c>
      <c r="C209" s="33" t="s">
        <v>363</v>
      </c>
      <c r="D209" s="19">
        <v>4</v>
      </c>
      <c r="E209" s="20" t="s">
        <v>365</v>
      </c>
      <c r="F209" s="20" t="s">
        <v>366</v>
      </c>
      <c r="G209" s="20" t="s">
        <v>0</v>
      </c>
      <c r="H209" s="21">
        <v>10</v>
      </c>
      <c r="I209" s="21" t="s">
        <v>32</v>
      </c>
      <c r="J209" s="21" t="s">
        <v>26</v>
      </c>
      <c r="K209" s="20"/>
      <c r="L209" s="20" t="str">
        <f>CONCATENATE(參考!B$1,[資料表詳細]資料表詳細表格[[#This Row],[表名]])</f>
        <v>pa_schedule_playlist</v>
      </c>
      <c r="M209" s="18" t="str">
        <f>VLOOKUP([資料表詳細]資料表詳細表格[[#This Row],[屬性類型(Postgre)]],選單!$A$3:$B$20,2,FALSE)</f>
        <v>string</v>
      </c>
      <c r="N209" s="20" t="str">
        <f>CONCATENATE(參考!B$2,[資料表詳細]資料表詳細表格[[#This Row],[欄位名稱(英)]])</f>
        <v>area_id</v>
      </c>
    </row>
    <row r="210" spans="1:14">
      <c r="A210" s="74">
        <v>205</v>
      </c>
      <c r="B210" s="22" t="s">
        <v>131</v>
      </c>
      <c r="C210" s="33" t="s">
        <v>363</v>
      </c>
      <c r="D210" s="19">
        <v>5</v>
      </c>
      <c r="E210" s="20" t="s">
        <v>290</v>
      </c>
      <c r="F210" s="20" t="s">
        <v>292</v>
      </c>
      <c r="G210" s="20" t="s">
        <v>5</v>
      </c>
      <c r="H210" s="21"/>
      <c r="I210" s="21" t="s">
        <v>34</v>
      </c>
      <c r="J210" s="21"/>
      <c r="K210" s="20"/>
      <c r="L210" s="20" t="str">
        <f>CONCATENATE(參考!B$1,[資料表詳細]資料表詳細表格[[#This Row],[表名]])</f>
        <v>pa_schedule_playlist</v>
      </c>
      <c r="M210" s="18" t="str">
        <f>VLOOKUP([資料表詳細]資料表詳細表格[[#This Row],[屬性類型(Postgre)]],選單!$A$3:$B$20,2,FALSE)</f>
        <v>DateTime</v>
      </c>
      <c r="N210" s="20" t="str">
        <f>CONCATENATE(參考!B$2,[資料表詳細]資料表詳細表格[[#This Row],[欄位名稱(英)]])</f>
        <v>sned_time</v>
      </c>
    </row>
    <row r="211" spans="1:14">
      <c r="A211" s="74">
        <v>206</v>
      </c>
      <c r="B211" s="22" t="s">
        <v>131</v>
      </c>
      <c r="C211" s="33" t="s">
        <v>363</v>
      </c>
      <c r="D211" s="19">
        <v>6</v>
      </c>
      <c r="E211" s="20" t="s">
        <v>1</v>
      </c>
      <c r="F211" s="20" t="s">
        <v>2</v>
      </c>
      <c r="G211" s="20" t="s">
        <v>0</v>
      </c>
      <c r="H211" s="21">
        <v>20</v>
      </c>
      <c r="I211" s="21" t="s">
        <v>32</v>
      </c>
      <c r="J211" s="21"/>
      <c r="K211" s="20"/>
      <c r="L211" s="20" t="str">
        <f>CONCATENATE(參考!B$1,[資料表詳細]資料表詳細表格[[#This Row],[表名]])</f>
        <v>pa_schedule_playlist</v>
      </c>
      <c r="M211" s="18" t="str">
        <f>VLOOKUP([資料表詳細]資料表詳細表格[[#This Row],[屬性類型(Postgre)]],選單!$A$3:$B$20,2,FALSE)</f>
        <v>string</v>
      </c>
      <c r="N211" s="20" t="str">
        <f>CONCATENATE(參考!B$2,[資料表詳細]資料表詳細表格[[#This Row],[欄位名稱(英)]])</f>
        <v>ins_user</v>
      </c>
    </row>
    <row r="212" spans="1:14">
      <c r="A212" s="74">
        <v>207</v>
      </c>
      <c r="B212" s="22" t="s">
        <v>131</v>
      </c>
      <c r="C212" s="33" t="s">
        <v>363</v>
      </c>
      <c r="D212" s="19">
        <v>7</v>
      </c>
      <c r="E212" s="20" t="s">
        <v>3</v>
      </c>
      <c r="F212" s="20" t="s">
        <v>4</v>
      </c>
      <c r="G212" s="20" t="s">
        <v>5</v>
      </c>
      <c r="H212" s="21"/>
      <c r="I212" s="21" t="s">
        <v>32</v>
      </c>
      <c r="J212" s="21"/>
      <c r="K212" s="20"/>
      <c r="L212" s="20" t="str">
        <f>CONCATENATE(參考!B$1,[資料表詳細]資料表詳細表格[[#This Row],[表名]])</f>
        <v>pa_schedule_playlist</v>
      </c>
      <c r="M212" s="18" t="str">
        <f>VLOOKUP([資料表詳細]資料表詳細表格[[#This Row],[屬性類型(Postgre)]],選單!$A$3:$B$20,2,FALSE)</f>
        <v>DateTime</v>
      </c>
      <c r="N212" s="20" t="str">
        <f>CONCATENATE(參考!B$2,[資料表詳細]資料表詳細表格[[#This Row],[欄位名稱(英)]])</f>
        <v>ins_time</v>
      </c>
    </row>
    <row r="213" spans="1:14">
      <c r="A213" s="74">
        <v>208</v>
      </c>
      <c r="B213" s="22" t="s">
        <v>131</v>
      </c>
      <c r="C213" s="33" t="s">
        <v>363</v>
      </c>
      <c r="D213" s="19">
        <v>8</v>
      </c>
      <c r="E213" s="20" t="s">
        <v>6</v>
      </c>
      <c r="F213" s="20" t="s">
        <v>7</v>
      </c>
      <c r="G213" s="20" t="s">
        <v>0</v>
      </c>
      <c r="H213" s="21">
        <v>20</v>
      </c>
      <c r="I213" s="21" t="s">
        <v>32</v>
      </c>
      <c r="J213" s="21"/>
      <c r="K213" s="20"/>
      <c r="L213" s="20" t="str">
        <f>CONCATENATE(參考!B$1,[資料表詳細]資料表詳細表格[[#This Row],[表名]])</f>
        <v>pa_schedule_playlist</v>
      </c>
      <c r="M213" s="18" t="str">
        <f>VLOOKUP([資料表詳細]資料表詳細表格[[#This Row],[屬性類型(Postgre)]],選單!$A$3:$B$20,2,FALSE)</f>
        <v>string</v>
      </c>
      <c r="N213" s="20" t="str">
        <f>CONCATENATE(參考!B$2,[資料表詳細]資料表詳細表格[[#This Row],[欄位名稱(英)]])</f>
        <v>upd_user</v>
      </c>
    </row>
    <row r="214" spans="1:14">
      <c r="A214" s="74">
        <v>209</v>
      </c>
      <c r="B214" s="22" t="s">
        <v>131</v>
      </c>
      <c r="C214" s="33" t="s">
        <v>363</v>
      </c>
      <c r="D214" s="19">
        <v>9</v>
      </c>
      <c r="E214" s="20" t="s">
        <v>8</v>
      </c>
      <c r="F214" s="20" t="s">
        <v>9</v>
      </c>
      <c r="G214" s="20" t="s">
        <v>5</v>
      </c>
      <c r="H214" s="21"/>
      <c r="I214" s="21" t="s">
        <v>32</v>
      </c>
      <c r="J214" s="21"/>
      <c r="K214" s="20"/>
      <c r="L214" s="20" t="str">
        <f>CONCATENATE(參考!B$1,[資料表詳細]資料表詳細表格[[#This Row],[表名]])</f>
        <v>pa_schedule_playlist</v>
      </c>
      <c r="M214" s="18" t="str">
        <f>VLOOKUP([資料表詳細]資料表詳細表格[[#This Row],[屬性類型(Postgre)]],選單!$A$3:$B$20,2,FALSE)</f>
        <v>DateTime</v>
      </c>
      <c r="N214" s="20" t="str">
        <f>CONCATENATE(參考!B$2,[資料表詳細]資料表詳細表格[[#This Row],[欄位名稱(英)]])</f>
        <v>upd_time</v>
      </c>
    </row>
    <row r="215" spans="1:14">
      <c r="A215" s="74">
        <v>210</v>
      </c>
      <c r="B215" s="22" t="s">
        <v>131</v>
      </c>
      <c r="C215" s="18" t="s">
        <v>424</v>
      </c>
      <c r="D215" s="19">
        <v>1</v>
      </c>
      <c r="E215" s="20" t="s">
        <v>118</v>
      </c>
      <c r="F215" s="20" t="s">
        <v>139</v>
      </c>
      <c r="G215" s="20" t="s">
        <v>0</v>
      </c>
      <c r="H215" s="21">
        <v>10</v>
      </c>
      <c r="I215" s="21" t="s">
        <v>32</v>
      </c>
      <c r="J215" s="21" t="s">
        <v>26</v>
      </c>
      <c r="K215" s="20"/>
      <c r="L215" s="20" t="str">
        <f>CONCATENATE(參考!B$1,[資料表詳細]資料表詳細表格[[#This Row],[表名]])</f>
        <v>pa_daypart_volume</v>
      </c>
      <c r="M215" s="18" t="str">
        <f>VLOOKUP([資料表詳細]資料表詳細表格[[#This Row],[屬性類型(Postgre)]],選單!$A$3:$B$20,2,FALSE)</f>
        <v>string</v>
      </c>
      <c r="N215" s="20" t="str">
        <f>CONCATENATE(參考!B$2,[資料表詳細]資料表詳細表格[[#This Row],[欄位名稱(英)]])</f>
        <v>station_id</v>
      </c>
    </row>
    <row r="216" spans="1:14">
      <c r="A216" s="74">
        <v>211</v>
      </c>
      <c r="B216" s="22" t="s">
        <v>131</v>
      </c>
      <c r="C216" s="33" t="s">
        <v>423</v>
      </c>
      <c r="D216" s="19">
        <v>2</v>
      </c>
      <c r="E216" s="20" t="s">
        <v>432</v>
      </c>
      <c r="F216" s="20" t="s">
        <v>428</v>
      </c>
      <c r="G216" s="20" t="s">
        <v>130</v>
      </c>
      <c r="H216" s="21"/>
      <c r="I216" s="21" t="s">
        <v>32</v>
      </c>
      <c r="J216" s="21" t="s">
        <v>26</v>
      </c>
      <c r="K216" s="20"/>
      <c r="L216" s="20" t="str">
        <f>CONCATENATE(參考!B$1,[資料表詳細]資料表詳細表格[[#This Row],[表名]])</f>
        <v>pa_daypart_volume</v>
      </c>
      <c r="M216" s="18" t="str">
        <f>VLOOKUP([資料表詳細]資料表詳細表格[[#This Row],[屬性類型(Postgre)]],選單!$A$3:$B$20,2,FALSE)</f>
        <v>int</v>
      </c>
      <c r="N216" s="20" t="str">
        <f>CONCATENATE(參考!B$2,[資料表詳細]資料表詳細表格[[#This Row],[欄位名稱(英)]])</f>
        <v>daypart</v>
      </c>
    </row>
    <row r="217" spans="1:14">
      <c r="A217" s="74">
        <v>212</v>
      </c>
      <c r="B217" s="22" t="s">
        <v>131</v>
      </c>
      <c r="C217" s="33" t="s">
        <v>423</v>
      </c>
      <c r="D217" s="19">
        <v>3</v>
      </c>
      <c r="E217" s="20" t="s">
        <v>433</v>
      </c>
      <c r="F217" s="20" t="s">
        <v>429</v>
      </c>
      <c r="G217" s="20" t="s">
        <v>130</v>
      </c>
      <c r="H217" s="21"/>
      <c r="I217" s="21" t="s">
        <v>32</v>
      </c>
      <c r="J217" s="21"/>
      <c r="K217" s="20"/>
      <c r="L217" s="20" t="str">
        <f>CONCATENATE(參考!B$1,[資料表詳細]資料表詳細表格[[#This Row],[表名]])</f>
        <v>pa_daypart_volume</v>
      </c>
      <c r="M217" s="18" t="str">
        <f>VLOOKUP([資料表詳細]資料表詳細表格[[#This Row],[屬性類型(Postgre)]],選單!$A$3:$B$20,2,FALSE)</f>
        <v>int</v>
      </c>
      <c r="N217" s="20" t="str">
        <f>CONCATENATE(參考!B$2,[資料表詳細]資料表詳細表格[[#This Row],[欄位名稱(英)]])</f>
        <v>volume</v>
      </c>
    </row>
    <row r="218" spans="1:14">
      <c r="A218" s="74">
        <v>213</v>
      </c>
      <c r="B218" s="22" t="s">
        <v>131</v>
      </c>
      <c r="C218" s="33" t="s">
        <v>423</v>
      </c>
      <c r="D218" s="19">
        <v>4</v>
      </c>
      <c r="E218" s="20" t="s">
        <v>1</v>
      </c>
      <c r="F218" s="20" t="s">
        <v>2</v>
      </c>
      <c r="G218" s="20" t="s">
        <v>0</v>
      </c>
      <c r="H218" s="21">
        <v>20</v>
      </c>
      <c r="I218" s="21" t="s">
        <v>32</v>
      </c>
      <c r="J218" s="21"/>
      <c r="K218" s="20"/>
      <c r="L218" s="20" t="str">
        <f>CONCATENATE(參考!B$1,[資料表詳細]資料表詳細表格[[#This Row],[表名]])</f>
        <v>pa_daypart_volume</v>
      </c>
      <c r="M218" s="18" t="str">
        <f>VLOOKUP([資料表詳細]資料表詳細表格[[#This Row],[屬性類型(Postgre)]],選單!$A$3:$B$20,2,FALSE)</f>
        <v>string</v>
      </c>
      <c r="N218" s="20" t="str">
        <f>CONCATENATE(參考!B$2,[資料表詳細]資料表詳細表格[[#This Row],[欄位名稱(英)]])</f>
        <v>ins_user</v>
      </c>
    </row>
    <row r="219" spans="1:14">
      <c r="A219" s="74">
        <v>214</v>
      </c>
      <c r="B219" s="22" t="s">
        <v>131</v>
      </c>
      <c r="C219" s="33" t="s">
        <v>423</v>
      </c>
      <c r="D219" s="19">
        <v>5</v>
      </c>
      <c r="E219" s="20" t="s">
        <v>3</v>
      </c>
      <c r="F219" s="20" t="s">
        <v>4</v>
      </c>
      <c r="G219" s="20" t="s">
        <v>5</v>
      </c>
      <c r="H219" s="21"/>
      <c r="I219" s="21" t="s">
        <v>32</v>
      </c>
      <c r="J219" s="21"/>
      <c r="K219" s="20"/>
      <c r="L219" s="20" t="str">
        <f>CONCATENATE(參考!B$1,[資料表詳細]資料表詳細表格[[#This Row],[表名]])</f>
        <v>pa_daypart_volume</v>
      </c>
      <c r="M219" s="18" t="str">
        <f>VLOOKUP([資料表詳細]資料表詳細表格[[#This Row],[屬性類型(Postgre)]],選單!$A$3:$B$20,2,FALSE)</f>
        <v>DateTime</v>
      </c>
      <c r="N219" s="20" t="str">
        <f>CONCATENATE(參考!B$2,[資料表詳細]資料表詳細表格[[#This Row],[欄位名稱(英)]])</f>
        <v>ins_time</v>
      </c>
    </row>
    <row r="220" spans="1:14">
      <c r="A220" s="74">
        <v>215</v>
      </c>
      <c r="B220" s="22" t="s">
        <v>131</v>
      </c>
      <c r="C220" s="33" t="s">
        <v>423</v>
      </c>
      <c r="D220" s="19">
        <v>6</v>
      </c>
      <c r="E220" s="20" t="s">
        <v>6</v>
      </c>
      <c r="F220" s="20" t="s">
        <v>7</v>
      </c>
      <c r="G220" s="20" t="s">
        <v>0</v>
      </c>
      <c r="H220" s="21">
        <v>20</v>
      </c>
      <c r="I220" s="21" t="s">
        <v>32</v>
      </c>
      <c r="J220" s="21"/>
      <c r="K220" s="20"/>
      <c r="L220" s="20" t="str">
        <f>CONCATENATE(參考!B$1,[資料表詳細]資料表詳細表格[[#This Row],[表名]])</f>
        <v>pa_daypart_volume</v>
      </c>
      <c r="M220" s="18" t="str">
        <f>VLOOKUP([資料表詳細]資料表詳細表格[[#This Row],[屬性類型(Postgre)]],選單!$A$3:$B$20,2,FALSE)</f>
        <v>string</v>
      </c>
      <c r="N220" s="20" t="str">
        <f>CONCATENATE(參考!B$2,[資料表詳細]資料表詳細表格[[#This Row],[欄位名稱(英)]])</f>
        <v>upd_user</v>
      </c>
    </row>
    <row r="221" spans="1:14">
      <c r="A221" s="74">
        <v>216</v>
      </c>
      <c r="B221" s="22" t="s">
        <v>131</v>
      </c>
      <c r="C221" s="33" t="s">
        <v>423</v>
      </c>
      <c r="D221" s="19">
        <v>7</v>
      </c>
      <c r="E221" s="20" t="s">
        <v>8</v>
      </c>
      <c r="F221" s="20" t="s">
        <v>9</v>
      </c>
      <c r="G221" s="20" t="s">
        <v>5</v>
      </c>
      <c r="H221" s="21"/>
      <c r="I221" s="21" t="s">
        <v>32</v>
      </c>
      <c r="J221" s="21"/>
      <c r="K221" s="20"/>
      <c r="L221" s="20" t="str">
        <f>CONCATENATE(參考!B$1,[資料表詳細]資料表詳細表格[[#This Row],[表名]])</f>
        <v>pa_daypart_volume</v>
      </c>
      <c r="M221" s="18" t="str">
        <f>VLOOKUP([資料表詳細]資料表詳細表格[[#This Row],[屬性類型(Postgre)]],選單!$A$3:$B$20,2,FALSE)</f>
        <v>DateTime</v>
      </c>
      <c r="N221" s="20" t="str">
        <f>CONCATENATE(參考!B$2,[資料表詳細]資料表詳細表格[[#This Row],[欄位名稱(英)]])</f>
        <v>upd_time</v>
      </c>
    </row>
    <row r="222" spans="1:14">
      <c r="A222" s="74">
        <v>217</v>
      </c>
      <c r="B222" s="22" t="s">
        <v>131</v>
      </c>
      <c r="C222" s="18" t="s">
        <v>441</v>
      </c>
      <c r="D222" s="19">
        <v>1</v>
      </c>
      <c r="E222" s="20" t="s">
        <v>449</v>
      </c>
      <c r="F222" s="20" t="s">
        <v>450</v>
      </c>
      <c r="G222" s="20" t="s">
        <v>71</v>
      </c>
      <c r="H222" s="21"/>
      <c r="I222" s="21" t="s">
        <v>32</v>
      </c>
      <c r="J222" s="21" t="s">
        <v>26</v>
      </c>
      <c r="K222" s="20"/>
      <c r="L222" s="20" t="str">
        <f>CONCATENATE(參考!B$1,[資料表詳細]資料表詳細表格[[#This Row],[表名]])</f>
        <v>pa_daypart_time</v>
      </c>
      <c r="M222" s="18" t="str">
        <f>VLOOKUP([資料表詳細]資料表詳細表格[[#This Row],[屬性類型(Postgre)]],選單!$A$3:$B$20,2,FALSE)</f>
        <v>Guid</v>
      </c>
      <c r="N222" s="20" t="str">
        <f>CONCATENATE(參考!B$2,[資料表詳細]資料表詳細表格[[#This Row],[欄位名稱(英)]])</f>
        <v>daypart_time_id</v>
      </c>
    </row>
    <row r="223" spans="1:14">
      <c r="A223" s="74">
        <v>218</v>
      </c>
      <c r="B223" s="22" t="s">
        <v>131</v>
      </c>
      <c r="C223" s="33" t="s">
        <v>440</v>
      </c>
      <c r="D223" s="19">
        <v>2</v>
      </c>
      <c r="E223" s="20" t="s">
        <v>118</v>
      </c>
      <c r="F223" s="20" t="s">
        <v>139</v>
      </c>
      <c r="G223" s="20" t="s">
        <v>0</v>
      </c>
      <c r="H223" s="21">
        <v>10</v>
      </c>
      <c r="I223" s="21" t="s">
        <v>32</v>
      </c>
      <c r="J223" s="21"/>
      <c r="K223" s="20"/>
      <c r="L223" s="20" t="str">
        <f>CONCATENATE(參考!B$1,[資料表詳細]資料表詳細表格[[#This Row],[表名]])</f>
        <v>pa_daypart_time</v>
      </c>
      <c r="M223" s="18" t="str">
        <f>VLOOKUP([資料表詳細]資料表詳細表格[[#This Row],[屬性類型(Postgre)]],選單!$A$3:$B$20,2,FALSE)</f>
        <v>string</v>
      </c>
      <c r="N223" s="20" t="str">
        <f>CONCATENATE(參考!B$2,[資料表詳細]資料表詳細表格[[#This Row],[欄位名稱(英)]])</f>
        <v>station_id</v>
      </c>
    </row>
    <row r="224" spans="1:14">
      <c r="A224" s="74">
        <v>219</v>
      </c>
      <c r="B224" s="22" t="s">
        <v>131</v>
      </c>
      <c r="C224" s="33" t="s">
        <v>440</v>
      </c>
      <c r="D224" s="19">
        <v>3</v>
      </c>
      <c r="E224" s="20" t="s">
        <v>443</v>
      </c>
      <c r="F224" s="20" t="s">
        <v>448</v>
      </c>
      <c r="G224" s="20" t="s">
        <v>130</v>
      </c>
      <c r="H224" s="21"/>
      <c r="I224" s="21" t="s">
        <v>34</v>
      </c>
      <c r="J224" s="21"/>
      <c r="K224" s="20"/>
      <c r="L224" s="20" t="str">
        <f>CONCATENATE(參考!B$1,[資料表詳細]資料表詳細表格[[#This Row],[表名]])</f>
        <v>pa_daypart_time</v>
      </c>
      <c r="M224" s="18" t="str">
        <f>VLOOKUP([資料表詳細]資料表詳細表格[[#This Row],[屬性類型(Postgre)]],選單!$A$3:$B$20,2,FALSE)</f>
        <v>int</v>
      </c>
      <c r="N224" s="20" t="str">
        <f>CONCATENATE(參考!B$2,[資料表詳細]資料表詳細表格[[#This Row],[欄位名稱(英)]])</f>
        <v>week_day</v>
      </c>
    </row>
    <row r="225" spans="1:14">
      <c r="A225" s="74">
        <v>220</v>
      </c>
      <c r="B225" s="22" t="s">
        <v>131</v>
      </c>
      <c r="C225" s="33" t="s">
        <v>440</v>
      </c>
      <c r="D225" s="19">
        <v>4</v>
      </c>
      <c r="E225" s="20" t="s">
        <v>444</v>
      </c>
      <c r="F225" s="20" t="s">
        <v>445</v>
      </c>
      <c r="G225" s="20" t="s">
        <v>0</v>
      </c>
      <c r="H225" s="21">
        <v>4</v>
      </c>
      <c r="I225" s="21" t="s">
        <v>32</v>
      </c>
      <c r="J225" s="21"/>
      <c r="K225" s="20"/>
      <c r="L225" s="20" t="str">
        <f>CONCATENATE(參考!B$1,[資料表詳細]資料表詳細表格[[#This Row],[表名]])</f>
        <v>pa_daypart_time</v>
      </c>
      <c r="M225" s="18" t="str">
        <f>VLOOKUP([資料表詳細]資料表詳細表格[[#This Row],[屬性類型(Postgre)]],選單!$A$3:$B$20,2,FALSE)</f>
        <v>string</v>
      </c>
      <c r="N225" s="20" t="str">
        <f>CONCATENATE(參考!B$2,[資料表詳細]資料表詳細表格[[#This Row],[欄位名稱(英)]])</f>
        <v>start_time</v>
      </c>
    </row>
    <row r="226" spans="1:14">
      <c r="A226" s="74">
        <v>221</v>
      </c>
      <c r="B226" s="22" t="s">
        <v>131</v>
      </c>
      <c r="C226" s="33" t="s">
        <v>440</v>
      </c>
      <c r="D226" s="19">
        <v>5</v>
      </c>
      <c r="E226" s="20" t="s">
        <v>446</v>
      </c>
      <c r="F226" s="20" t="s">
        <v>447</v>
      </c>
      <c r="G226" s="20" t="s">
        <v>0</v>
      </c>
      <c r="H226" s="21">
        <v>4</v>
      </c>
      <c r="I226" s="21" t="s">
        <v>32</v>
      </c>
      <c r="J226" s="21"/>
      <c r="K226" s="20"/>
      <c r="L226" s="20" t="str">
        <f>CONCATENATE(參考!B$1,[資料表詳細]資料表詳細表格[[#This Row],[表名]])</f>
        <v>pa_daypart_time</v>
      </c>
      <c r="M226" s="18" t="str">
        <f>VLOOKUP([資料表詳細]資料表詳細表格[[#This Row],[屬性類型(Postgre)]],選單!$A$3:$B$20,2,FALSE)</f>
        <v>string</v>
      </c>
      <c r="N226" s="20" t="str">
        <f>CONCATENATE(參考!B$2,[資料表詳細]資料表詳細表格[[#This Row],[欄位名稱(英)]])</f>
        <v>end_time</v>
      </c>
    </row>
    <row r="227" spans="1:14">
      <c r="A227" s="74">
        <v>222</v>
      </c>
      <c r="B227" s="22" t="s">
        <v>131</v>
      </c>
      <c r="C227" s="33" t="s">
        <v>440</v>
      </c>
      <c r="D227" s="19">
        <v>6</v>
      </c>
      <c r="E227" s="20" t="s">
        <v>431</v>
      </c>
      <c r="F227" s="20" t="s">
        <v>428</v>
      </c>
      <c r="G227" s="20" t="s">
        <v>130</v>
      </c>
      <c r="H227" s="21"/>
      <c r="I227" s="21" t="s">
        <v>32</v>
      </c>
      <c r="J227" s="21"/>
      <c r="K227" s="20"/>
      <c r="L227" s="20" t="str">
        <f>CONCATENATE(參考!B$1,[資料表詳細]資料表詳細表格[[#This Row],[表名]])</f>
        <v>pa_daypart_time</v>
      </c>
      <c r="M227" s="18" t="str">
        <f>VLOOKUP([資料表詳細]資料表詳細表格[[#This Row],[屬性類型(Postgre)]],選單!$A$3:$B$20,2,FALSE)</f>
        <v>int</v>
      </c>
      <c r="N227" s="20" t="str">
        <f>CONCATENATE(參考!B$2,[資料表詳細]資料表詳細表格[[#This Row],[欄位名稱(英)]])</f>
        <v>daypart</v>
      </c>
    </row>
    <row r="228" spans="1:14">
      <c r="A228" s="74">
        <v>223</v>
      </c>
      <c r="B228" s="22" t="s">
        <v>131</v>
      </c>
      <c r="C228" s="33" t="s">
        <v>440</v>
      </c>
      <c r="D228" s="19">
        <v>7</v>
      </c>
      <c r="E228" s="20" t="s">
        <v>1</v>
      </c>
      <c r="F228" s="20" t="s">
        <v>2</v>
      </c>
      <c r="G228" s="20" t="s">
        <v>0</v>
      </c>
      <c r="H228" s="21">
        <v>20</v>
      </c>
      <c r="I228" s="21" t="s">
        <v>32</v>
      </c>
      <c r="J228" s="21"/>
      <c r="K228" s="20"/>
      <c r="L228" s="20" t="str">
        <f>CONCATENATE(參考!B$1,[資料表詳細]資料表詳細表格[[#This Row],[表名]])</f>
        <v>pa_daypart_time</v>
      </c>
      <c r="M228" s="18" t="str">
        <f>VLOOKUP([資料表詳細]資料表詳細表格[[#This Row],[屬性類型(Postgre)]],選單!$A$3:$B$20,2,FALSE)</f>
        <v>string</v>
      </c>
      <c r="N228" s="20" t="str">
        <f>CONCATENATE(參考!B$2,[資料表詳細]資料表詳細表格[[#This Row],[欄位名稱(英)]])</f>
        <v>ins_user</v>
      </c>
    </row>
    <row r="229" spans="1:14">
      <c r="A229" s="74">
        <v>224</v>
      </c>
      <c r="B229" s="22" t="s">
        <v>131</v>
      </c>
      <c r="C229" s="33" t="s">
        <v>440</v>
      </c>
      <c r="D229" s="19">
        <v>8</v>
      </c>
      <c r="E229" s="20" t="s">
        <v>3</v>
      </c>
      <c r="F229" s="20" t="s">
        <v>4</v>
      </c>
      <c r="G229" s="20" t="s">
        <v>5</v>
      </c>
      <c r="H229" s="21"/>
      <c r="I229" s="21" t="s">
        <v>32</v>
      </c>
      <c r="J229" s="21"/>
      <c r="K229" s="20"/>
      <c r="L229" s="20" t="str">
        <f>CONCATENATE(參考!B$1,[資料表詳細]資料表詳細表格[[#This Row],[表名]])</f>
        <v>pa_daypart_time</v>
      </c>
      <c r="M229" s="18" t="str">
        <f>VLOOKUP([資料表詳細]資料表詳細表格[[#This Row],[屬性類型(Postgre)]],選單!$A$3:$B$20,2,FALSE)</f>
        <v>DateTime</v>
      </c>
      <c r="N229" s="20" t="str">
        <f>CONCATENATE(參考!B$2,[資料表詳細]資料表詳細表格[[#This Row],[欄位名稱(英)]])</f>
        <v>ins_time</v>
      </c>
    </row>
    <row r="230" spans="1:14">
      <c r="A230" s="74">
        <v>225</v>
      </c>
      <c r="B230" s="22" t="s">
        <v>131</v>
      </c>
      <c r="C230" s="33" t="s">
        <v>440</v>
      </c>
      <c r="D230" s="19">
        <v>9</v>
      </c>
      <c r="E230" s="20" t="s">
        <v>6</v>
      </c>
      <c r="F230" s="20" t="s">
        <v>7</v>
      </c>
      <c r="G230" s="20" t="s">
        <v>0</v>
      </c>
      <c r="H230" s="21">
        <v>20</v>
      </c>
      <c r="I230" s="21" t="s">
        <v>32</v>
      </c>
      <c r="J230" s="21"/>
      <c r="K230" s="20"/>
      <c r="L230" s="20" t="str">
        <f>CONCATENATE(參考!B$1,[資料表詳細]資料表詳細表格[[#This Row],[表名]])</f>
        <v>pa_daypart_time</v>
      </c>
      <c r="M230" s="18" t="str">
        <f>VLOOKUP([資料表詳細]資料表詳細表格[[#This Row],[屬性類型(Postgre)]],選單!$A$3:$B$20,2,FALSE)</f>
        <v>string</v>
      </c>
      <c r="N230" s="20" t="str">
        <f>CONCATENATE(參考!B$2,[資料表詳細]資料表詳細表格[[#This Row],[欄位名稱(英)]])</f>
        <v>upd_user</v>
      </c>
    </row>
    <row r="231" spans="1:14">
      <c r="A231" s="74">
        <v>226</v>
      </c>
      <c r="B231" s="22" t="s">
        <v>131</v>
      </c>
      <c r="C231" s="33" t="s">
        <v>440</v>
      </c>
      <c r="D231" s="19">
        <v>10</v>
      </c>
      <c r="E231" s="20" t="s">
        <v>8</v>
      </c>
      <c r="F231" s="20" t="s">
        <v>9</v>
      </c>
      <c r="G231" s="20" t="s">
        <v>5</v>
      </c>
      <c r="H231" s="21"/>
      <c r="I231" s="21" t="s">
        <v>32</v>
      </c>
      <c r="J231" s="21"/>
      <c r="K231" s="20"/>
      <c r="L231" s="20" t="str">
        <f>CONCATENATE(參考!B$1,[資料表詳細]資料表詳細表格[[#This Row],[表名]])</f>
        <v>pa_daypart_time</v>
      </c>
      <c r="M231" s="18" t="str">
        <f>VLOOKUP([資料表詳細]資料表詳細表格[[#This Row],[屬性類型(Postgre)]],選單!$A$3:$B$20,2,FALSE)</f>
        <v>DateTime</v>
      </c>
      <c r="N231" s="20" t="str">
        <f>CONCATENATE(參考!B$2,[資料表詳細]資料表詳細表格[[#This Row],[欄位名稱(英)]])</f>
        <v>upd_time</v>
      </c>
    </row>
    <row r="232" spans="1:14">
      <c r="A232" s="74">
        <v>227</v>
      </c>
      <c r="B232" s="18" t="s">
        <v>133</v>
      </c>
      <c r="C232" s="18" t="s">
        <v>321</v>
      </c>
      <c r="D232" s="19">
        <v>1</v>
      </c>
      <c r="E232" s="20" t="s">
        <v>118</v>
      </c>
      <c r="F232" s="20" t="s">
        <v>227</v>
      </c>
      <c r="G232" s="20" t="s">
        <v>0</v>
      </c>
      <c r="H232" s="21">
        <v>10</v>
      </c>
      <c r="I232" s="21" t="s">
        <v>32</v>
      </c>
      <c r="J232" s="21" t="s">
        <v>26</v>
      </c>
      <c r="K232" s="20"/>
      <c r="L232" s="20" t="str">
        <f>CONCATENATE(參考!B$1,[資料表詳細]資料表詳細表格[[#This Row],[表名]])</f>
        <v>dmd_target</v>
      </c>
      <c r="M232" s="2" t="str">
        <f>VLOOKUP([資料表詳細]資料表詳細表格[[#This Row],[屬性類型(Postgre)]],選單!$A$3:$B$20,2,FALSE)</f>
        <v>string</v>
      </c>
      <c r="N232" s="20" t="str">
        <f>CONCATENATE(參考!B$2,[資料表詳細]資料表詳細表格[[#This Row],[欄位名稱(英)]])</f>
        <v>station_id</v>
      </c>
    </row>
    <row r="233" spans="1:14">
      <c r="A233" s="74">
        <v>228</v>
      </c>
      <c r="B233" s="22" t="s">
        <v>133</v>
      </c>
      <c r="C233" s="22" t="s">
        <v>310</v>
      </c>
      <c r="D233" s="19">
        <v>2</v>
      </c>
      <c r="E233" s="20" t="s">
        <v>225</v>
      </c>
      <c r="F233" s="20" t="s">
        <v>229</v>
      </c>
      <c r="G233" s="20" t="s">
        <v>41</v>
      </c>
      <c r="H233" s="21">
        <v>10</v>
      </c>
      <c r="I233" s="21" t="s">
        <v>32</v>
      </c>
      <c r="J233" s="21" t="s">
        <v>26</v>
      </c>
      <c r="K233" s="20"/>
      <c r="L233" s="20" t="str">
        <f>CONCATENATE(參考!B$1,[資料表詳細]資料表詳細表格[[#This Row],[表名]])</f>
        <v>dmd_target</v>
      </c>
      <c r="M233" s="2" t="str">
        <f>VLOOKUP([資料表詳細]資料表詳細表格[[#This Row],[屬性類型(Postgre)]],選單!$A$3:$B$20,2,FALSE)</f>
        <v>string</v>
      </c>
      <c r="N233" s="20" t="str">
        <f>CONCATENATE(參考!B$2,[資料表詳細]資料表詳細表格[[#This Row],[欄位名稱(英)]])</f>
        <v>area_id</v>
      </c>
    </row>
    <row r="234" spans="1:14">
      <c r="A234" s="74">
        <v>229</v>
      </c>
      <c r="B234" s="22" t="s">
        <v>133</v>
      </c>
      <c r="C234" s="22" t="s">
        <v>310</v>
      </c>
      <c r="D234" s="19">
        <v>3</v>
      </c>
      <c r="E234" s="20" t="s">
        <v>126</v>
      </c>
      <c r="F234" s="20" t="s">
        <v>199</v>
      </c>
      <c r="G234" s="20" t="s">
        <v>0</v>
      </c>
      <c r="H234" s="21">
        <v>10</v>
      </c>
      <c r="I234" s="21" t="s">
        <v>32</v>
      </c>
      <c r="J234" s="21" t="s">
        <v>26</v>
      </c>
      <c r="K234" s="20"/>
      <c r="L234" s="20" t="str">
        <f>CONCATENATE(參考!B$1,[資料表詳細]資料表詳細表格[[#This Row],[表名]])</f>
        <v>dmd_target</v>
      </c>
      <c r="M234" s="2" t="str">
        <f>VLOOKUP([資料表詳細]資料表詳細表格[[#This Row],[屬性類型(Postgre)]],選單!$A$3:$B$20,2,FALSE)</f>
        <v>string</v>
      </c>
      <c r="N234" s="20" t="str">
        <f>CONCATENATE(參考!B$2,[資料表詳細]資料表詳細表格[[#This Row],[欄位名稱(英)]])</f>
        <v>device_id</v>
      </c>
    </row>
    <row r="235" spans="1:14">
      <c r="A235" s="74">
        <v>230</v>
      </c>
      <c r="B235" s="22" t="s">
        <v>133</v>
      </c>
      <c r="C235" s="22" t="s">
        <v>310</v>
      </c>
      <c r="D235" s="19">
        <v>4</v>
      </c>
      <c r="E235" s="20" t="s">
        <v>127</v>
      </c>
      <c r="F235" s="20" t="s">
        <v>200</v>
      </c>
      <c r="G235" s="20" t="s">
        <v>0</v>
      </c>
      <c r="H235" s="21">
        <v>40</v>
      </c>
      <c r="I235" s="21" t="s">
        <v>32</v>
      </c>
      <c r="J235" s="21"/>
      <c r="K235" s="20"/>
      <c r="L235" s="20" t="str">
        <f>CONCATENATE(參考!B$1,[資料表詳細]資料表詳細表格[[#This Row],[表名]])</f>
        <v>dmd_target</v>
      </c>
      <c r="M235" s="2" t="str">
        <f>VLOOKUP([資料表詳細]資料表詳細表格[[#This Row],[屬性類型(Postgre)]],選單!$A$3:$B$20,2,FALSE)</f>
        <v>string</v>
      </c>
      <c r="N235" s="20" t="str">
        <f>CONCATENATE(參考!B$2,[資料表詳細]資料表詳細表格[[#This Row],[欄位名稱(英)]])</f>
        <v>device_name</v>
      </c>
    </row>
    <row r="236" spans="1:14">
      <c r="A236" s="74">
        <v>231</v>
      </c>
      <c r="B236" s="22" t="s">
        <v>133</v>
      </c>
      <c r="C236" s="22" t="s">
        <v>310</v>
      </c>
      <c r="D236" s="19">
        <v>5</v>
      </c>
      <c r="E236" s="20" t="s">
        <v>128</v>
      </c>
      <c r="F236" s="20" t="s">
        <v>129</v>
      </c>
      <c r="G236" s="20" t="s">
        <v>130</v>
      </c>
      <c r="H236" s="21"/>
      <c r="I236" s="21" t="s">
        <v>32</v>
      </c>
      <c r="J236" s="21"/>
      <c r="K236" s="20"/>
      <c r="L236" s="20" t="str">
        <f>CONCATENATE(參考!B$1,[資料表詳細]資料表詳細表格[[#This Row],[表名]])</f>
        <v>dmd_target</v>
      </c>
      <c r="M236" s="2" t="str">
        <f>VLOOKUP([資料表詳細]資料表詳細表格[[#This Row],[屬性類型(Postgre)]],選單!$A$3:$B$20,2,FALSE)</f>
        <v>int</v>
      </c>
      <c r="N236" s="20" t="str">
        <f>CONCATENATE(參考!B$2,[資料表詳細]資料表詳細表格[[#This Row],[欄位名稱(英)]])</f>
        <v>device_status</v>
      </c>
    </row>
    <row r="237" spans="1:14">
      <c r="A237" s="74">
        <v>232</v>
      </c>
      <c r="B237" s="22" t="s">
        <v>133</v>
      </c>
      <c r="C237" s="22" t="s">
        <v>310</v>
      </c>
      <c r="D237" s="19">
        <v>6</v>
      </c>
      <c r="E237" s="20" t="s">
        <v>24</v>
      </c>
      <c r="F237" s="20" t="s">
        <v>20</v>
      </c>
      <c r="G237" s="20" t="s">
        <v>14</v>
      </c>
      <c r="H237" s="21"/>
      <c r="I237" s="21" t="s">
        <v>34</v>
      </c>
      <c r="J237" s="21"/>
      <c r="K237" s="20"/>
      <c r="L237" s="20" t="str">
        <f>CONCATENATE(參考!B$1,[資料表詳細]資料表詳細表格[[#This Row],[表名]])</f>
        <v>dmd_target</v>
      </c>
      <c r="M237" s="2" t="str">
        <f>VLOOKUP([資料表詳細]資料表詳細表格[[#This Row],[屬性類型(Postgre)]],選單!$A$3:$B$20,2,FALSE)</f>
        <v>string</v>
      </c>
      <c r="N237" s="20" t="str">
        <f>CONCATENATE(參考!B$2,[資料表詳細]資料表詳細表格[[#This Row],[欄位名稱(英)]])</f>
        <v>remark</v>
      </c>
    </row>
    <row r="238" spans="1:14">
      <c r="A238" s="74">
        <v>233</v>
      </c>
      <c r="B238" s="22" t="s">
        <v>133</v>
      </c>
      <c r="C238" s="22" t="s">
        <v>310</v>
      </c>
      <c r="D238" s="19">
        <v>7</v>
      </c>
      <c r="E238" s="20" t="s">
        <v>1</v>
      </c>
      <c r="F238" s="20" t="s">
        <v>2</v>
      </c>
      <c r="G238" s="20" t="s">
        <v>41</v>
      </c>
      <c r="H238" s="21">
        <v>20</v>
      </c>
      <c r="I238" s="21" t="s">
        <v>32</v>
      </c>
      <c r="J238" s="21"/>
      <c r="K238" s="20"/>
      <c r="L238" s="20" t="str">
        <f>CONCATENATE(參考!B$1,[資料表詳細]資料表詳細表格[[#This Row],[表名]])</f>
        <v>dmd_target</v>
      </c>
      <c r="M238" s="2" t="str">
        <f>VLOOKUP([資料表詳細]資料表詳細表格[[#This Row],[屬性類型(Postgre)]],選單!$A$3:$B$20,2,FALSE)</f>
        <v>string</v>
      </c>
      <c r="N238" s="20" t="str">
        <f>CONCATENATE(參考!B$2,[資料表詳細]資料表詳細表格[[#This Row],[欄位名稱(英)]])</f>
        <v>ins_user</v>
      </c>
    </row>
    <row r="239" spans="1:14">
      <c r="A239" s="74">
        <v>234</v>
      </c>
      <c r="B239" s="22" t="s">
        <v>133</v>
      </c>
      <c r="C239" s="22" t="s">
        <v>310</v>
      </c>
      <c r="D239" s="19">
        <v>8</v>
      </c>
      <c r="E239" s="20" t="s">
        <v>3</v>
      </c>
      <c r="F239" s="20" t="s">
        <v>4</v>
      </c>
      <c r="G239" s="20" t="s">
        <v>77</v>
      </c>
      <c r="H239" s="21"/>
      <c r="I239" s="21" t="s">
        <v>32</v>
      </c>
      <c r="J239" s="21"/>
      <c r="K239" s="20"/>
      <c r="L239" s="20" t="str">
        <f>CONCATENATE(參考!B$1,[資料表詳細]資料表詳細表格[[#This Row],[表名]])</f>
        <v>dmd_target</v>
      </c>
      <c r="M239" s="2" t="str">
        <f>VLOOKUP([資料表詳細]資料表詳細表格[[#This Row],[屬性類型(Postgre)]],選單!$A$3:$B$20,2,FALSE)</f>
        <v>DateTime</v>
      </c>
      <c r="N239" s="20" t="str">
        <f>CONCATENATE(參考!B$2,[資料表詳細]資料表詳細表格[[#This Row],[欄位名稱(英)]])</f>
        <v>ins_time</v>
      </c>
    </row>
    <row r="240" spans="1:14">
      <c r="A240" s="74">
        <v>235</v>
      </c>
      <c r="B240" s="22" t="s">
        <v>133</v>
      </c>
      <c r="C240" s="22" t="s">
        <v>310</v>
      </c>
      <c r="D240" s="19">
        <v>9</v>
      </c>
      <c r="E240" s="20" t="s">
        <v>6</v>
      </c>
      <c r="F240" s="20" t="s">
        <v>7</v>
      </c>
      <c r="G240" s="20" t="s">
        <v>41</v>
      </c>
      <c r="H240" s="21">
        <v>20</v>
      </c>
      <c r="I240" s="21" t="s">
        <v>32</v>
      </c>
      <c r="J240" s="21"/>
      <c r="K240" s="20"/>
      <c r="L240" s="20" t="str">
        <f>CONCATENATE(參考!B$1,[資料表詳細]資料表詳細表格[[#This Row],[表名]])</f>
        <v>dmd_target</v>
      </c>
      <c r="M240" s="2" t="str">
        <f>VLOOKUP([資料表詳細]資料表詳細表格[[#This Row],[屬性類型(Postgre)]],選單!$A$3:$B$20,2,FALSE)</f>
        <v>string</v>
      </c>
      <c r="N240" s="20" t="str">
        <f>CONCATENATE(參考!B$2,[資料表詳細]資料表詳細表格[[#This Row],[欄位名稱(英)]])</f>
        <v>upd_user</v>
      </c>
    </row>
    <row r="241" spans="1:14">
      <c r="A241" s="74">
        <v>236</v>
      </c>
      <c r="B241" s="22" t="s">
        <v>133</v>
      </c>
      <c r="C241" s="22" t="s">
        <v>310</v>
      </c>
      <c r="D241" s="19">
        <v>10</v>
      </c>
      <c r="E241" s="20" t="s">
        <v>8</v>
      </c>
      <c r="F241" s="20" t="s">
        <v>9</v>
      </c>
      <c r="G241" s="20" t="s">
        <v>77</v>
      </c>
      <c r="H241" s="21"/>
      <c r="I241" s="21" t="s">
        <v>32</v>
      </c>
      <c r="J241" s="21"/>
      <c r="K241" s="20"/>
      <c r="L241" s="20" t="str">
        <f>CONCATENATE(參考!B$1,[資料表詳細]資料表詳細表格[[#This Row],[表名]])</f>
        <v>dmd_target</v>
      </c>
      <c r="M241" s="2" t="str">
        <f>VLOOKUP([資料表詳細]資料表詳細表格[[#This Row],[屬性類型(Postgre)]],選單!$A$3:$B$20,2,FALSE)</f>
        <v>DateTime</v>
      </c>
      <c r="N241" s="20" t="str">
        <f>CONCATENATE(參考!B$2,[資料表詳細]資料表詳細表格[[#This Row],[欄位名稱(英)]])</f>
        <v>upd_time</v>
      </c>
    </row>
    <row r="242" spans="1:14">
      <c r="A242" s="74">
        <v>237</v>
      </c>
      <c r="B242" s="22" t="s">
        <v>133</v>
      </c>
      <c r="C242" s="18" t="s">
        <v>235</v>
      </c>
      <c r="D242" s="19">
        <v>1</v>
      </c>
      <c r="E242" s="20" t="s">
        <v>236</v>
      </c>
      <c r="F242" s="20" t="s">
        <v>238</v>
      </c>
      <c r="G242" s="20" t="s">
        <v>71</v>
      </c>
      <c r="H242" s="21"/>
      <c r="I242" s="21" t="s">
        <v>32</v>
      </c>
      <c r="J242" s="21" t="s">
        <v>26</v>
      </c>
      <c r="K242" s="20"/>
      <c r="L242" s="20" t="str">
        <f>CONCATENATE(參考!B$1,[資料表詳細]資料表詳細表格[[#This Row],[表名]])</f>
        <v>dmd_group</v>
      </c>
      <c r="M242" s="2" t="str">
        <f>VLOOKUP([資料表詳細]資料表詳細表格[[#This Row],[屬性類型(Postgre)]],選單!$A$3:$B$20,2,FALSE)</f>
        <v>Guid</v>
      </c>
      <c r="N242" s="20" t="str">
        <f>CONCATENATE(參考!B$2,[資料表詳細]資料表詳細表格[[#This Row],[欄位名稱(英)]])</f>
        <v>group_id</v>
      </c>
    </row>
    <row r="243" spans="1:14">
      <c r="A243" s="74">
        <v>238</v>
      </c>
      <c r="B243" s="22" t="s">
        <v>133</v>
      </c>
      <c r="C243" s="33" t="s">
        <v>235</v>
      </c>
      <c r="D243" s="19">
        <v>2</v>
      </c>
      <c r="E243" s="20" t="s">
        <v>237</v>
      </c>
      <c r="F243" s="20" t="s">
        <v>239</v>
      </c>
      <c r="G243" s="20" t="s">
        <v>0</v>
      </c>
      <c r="H243" s="21">
        <v>40</v>
      </c>
      <c r="I243" s="21" t="s">
        <v>32</v>
      </c>
      <c r="J243" s="21"/>
      <c r="K243" s="20"/>
      <c r="L243" s="20" t="str">
        <f>CONCATENATE(參考!B$1,[資料表詳細]資料表詳細表格[[#This Row],[表名]])</f>
        <v>dmd_group</v>
      </c>
      <c r="M243" s="2" t="str">
        <f>VLOOKUP([資料表詳細]資料表詳細表格[[#This Row],[屬性類型(Postgre)]],選單!$A$3:$B$20,2,FALSE)</f>
        <v>string</v>
      </c>
      <c r="N243" s="20" t="str">
        <f>CONCATENATE(參考!B$2,[資料表詳細]資料表詳細表格[[#This Row],[欄位名稱(英)]])</f>
        <v>group_name</v>
      </c>
    </row>
    <row r="244" spans="1:14">
      <c r="A244" s="74">
        <v>239</v>
      </c>
      <c r="B244" s="22" t="s">
        <v>133</v>
      </c>
      <c r="C244" s="33" t="s">
        <v>235</v>
      </c>
      <c r="D244" s="19">
        <v>3</v>
      </c>
      <c r="E244" s="20" t="s">
        <v>240</v>
      </c>
      <c r="F244" s="20" t="s">
        <v>241</v>
      </c>
      <c r="G244" s="20" t="s">
        <v>14</v>
      </c>
      <c r="H244" s="21"/>
      <c r="I244" s="21" t="s">
        <v>34</v>
      </c>
      <c r="J244" s="21"/>
      <c r="K244" s="20"/>
      <c r="L244" s="20" t="str">
        <f>CONCATENATE(參考!B$1,[資料表詳細]資料表詳細表格[[#This Row],[表名]])</f>
        <v>dmd_group</v>
      </c>
      <c r="M244" s="2" t="str">
        <f>VLOOKUP([資料表詳細]資料表詳細表格[[#This Row],[屬性類型(Postgre)]],選單!$A$3:$B$20,2,FALSE)</f>
        <v>string</v>
      </c>
      <c r="N244" s="20" t="str">
        <f>CONCATENATE(參考!B$2,[資料表詳細]資料表詳細表格[[#This Row],[欄位名稱(英)]])</f>
        <v>group_description</v>
      </c>
    </row>
    <row r="245" spans="1:14">
      <c r="A245" s="74">
        <v>240</v>
      </c>
      <c r="B245" s="22" t="s">
        <v>133</v>
      </c>
      <c r="C245" s="33" t="s">
        <v>235</v>
      </c>
      <c r="D245" s="19">
        <v>6</v>
      </c>
      <c r="E245" s="20" t="s">
        <v>1</v>
      </c>
      <c r="F245" s="20" t="s">
        <v>2</v>
      </c>
      <c r="G245" s="20" t="s">
        <v>41</v>
      </c>
      <c r="H245" s="21">
        <v>20</v>
      </c>
      <c r="I245" s="21" t="s">
        <v>32</v>
      </c>
      <c r="J245" s="21"/>
      <c r="K245" s="20"/>
      <c r="L245" s="20" t="str">
        <f>CONCATENATE(參考!B$1,[資料表詳細]資料表詳細表格[[#This Row],[表名]])</f>
        <v>dmd_group</v>
      </c>
      <c r="M245" s="2" t="str">
        <f>VLOOKUP([資料表詳細]資料表詳細表格[[#This Row],[屬性類型(Postgre)]],選單!$A$3:$B$20,2,FALSE)</f>
        <v>string</v>
      </c>
      <c r="N245" s="20" t="str">
        <f>CONCATENATE(參考!B$2,[資料表詳細]資料表詳細表格[[#This Row],[欄位名稱(英)]])</f>
        <v>ins_user</v>
      </c>
    </row>
    <row r="246" spans="1:14">
      <c r="A246" s="74">
        <v>241</v>
      </c>
      <c r="B246" s="22" t="s">
        <v>133</v>
      </c>
      <c r="C246" s="33" t="s">
        <v>235</v>
      </c>
      <c r="D246" s="19">
        <v>7</v>
      </c>
      <c r="E246" s="20" t="s">
        <v>3</v>
      </c>
      <c r="F246" s="20" t="s">
        <v>4</v>
      </c>
      <c r="G246" s="20" t="s">
        <v>77</v>
      </c>
      <c r="H246" s="21"/>
      <c r="I246" s="21" t="s">
        <v>32</v>
      </c>
      <c r="J246" s="21"/>
      <c r="K246" s="20"/>
      <c r="L246" s="20" t="str">
        <f>CONCATENATE(參考!B$1,[資料表詳細]資料表詳細表格[[#This Row],[表名]])</f>
        <v>dmd_group</v>
      </c>
      <c r="M246" s="2" t="str">
        <f>VLOOKUP([資料表詳細]資料表詳細表格[[#This Row],[屬性類型(Postgre)]],選單!$A$3:$B$20,2,FALSE)</f>
        <v>DateTime</v>
      </c>
      <c r="N246" s="20" t="str">
        <f>CONCATENATE(參考!B$2,[資料表詳細]資料表詳細表格[[#This Row],[欄位名稱(英)]])</f>
        <v>ins_time</v>
      </c>
    </row>
    <row r="247" spans="1:14">
      <c r="A247" s="74">
        <v>242</v>
      </c>
      <c r="B247" s="22" t="s">
        <v>133</v>
      </c>
      <c r="C247" s="33" t="s">
        <v>235</v>
      </c>
      <c r="D247" s="19">
        <v>8</v>
      </c>
      <c r="E247" s="20" t="s">
        <v>6</v>
      </c>
      <c r="F247" s="20" t="s">
        <v>7</v>
      </c>
      <c r="G247" s="20" t="s">
        <v>41</v>
      </c>
      <c r="H247" s="21">
        <v>20</v>
      </c>
      <c r="I247" s="21" t="s">
        <v>32</v>
      </c>
      <c r="J247" s="21"/>
      <c r="K247" s="20"/>
      <c r="L247" s="20" t="str">
        <f>CONCATENATE(參考!B$1,[資料表詳細]資料表詳細表格[[#This Row],[表名]])</f>
        <v>dmd_group</v>
      </c>
      <c r="M247" s="2" t="str">
        <f>VLOOKUP([資料表詳細]資料表詳細表格[[#This Row],[屬性類型(Postgre)]],選單!$A$3:$B$20,2,FALSE)</f>
        <v>string</v>
      </c>
      <c r="N247" s="20" t="str">
        <f>CONCATENATE(參考!B$2,[資料表詳細]資料表詳細表格[[#This Row],[欄位名稱(英)]])</f>
        <v>upd_user</v>
      </c>
    </row>
    <row r="248" spans="1:14">
      <c r="A248" s="74">
        <v>243</v>
      </c>
      <c r="B248" s="22" t="s">
        <v>133</v>
      </c>
      <c r="C248" s="33" t="s">
        <v>235</v>
      </c>
      <c r="D248" s="19">
        <v>9</v>
      </c>
      <c r="E248" s="20" t="s">
        <v>8</v>
      </c>
      <c r="F248" s="20" t="s">
        <v>9</v>
      </c>
      <c r="G248" s="20" t="s">
        <v>77</v>
      </c>
      <c r="H248" s="21"/>
      <c r="I248" s="21" t="s">
        <v>32</v>
      </c>
      <c r="J248" s="21"/>
      <c r="K248" s="20"/>
      <c r="L248" s="20" t="str">
        <f>CONCATENATE(參考!B$1,[資料表詳細]資料表詳細表格[[#This Row],[表名]])</f>
        <v>dmd_group</v>
      </c>
      <c r="M248" s="18" t="str">
        <f>VLOOKUP([資料表詳細]資料表詳細表格[[#This Row],[屬性類型(Postgre)]],選單!$A$3:$B$20,2,FALSE)</f>
        <v>DateTime</v>
      </c>
      <c r="N248" s="20" t="str">
        <f>CONCATENATE(參考!B$2,[資料表詳細]資料表詳細表格[[#This Row],[欄位名稱(英)]])</f>
        <v>upd_time</v>
      </c>
    </row>
    <row r="249" spans="1:14">
      <c r="A249" s="74">
        <v>244</v>
      </c>
      <c r="B249" s="22" t="s">
        <v>133</v>
      </c>
      <c r="C249" s="18" t="s">
        <v>322</v>
      </c>
      <c r="D249" s="19">
        <v>1</v>
      </c>
      <c r="E249" s="20" t="s">
        <v>236</v>
      </c>
      <c r="F249" s="20" t="s">
        <v>238</v>
      </c>
      <c r="G249" s="20" t="s">
        <v>71</v>
      </c>
      <c r="H249" s="21"/>
      <c r="I249" s="21" t="s">
        <v>32</v>
      </c>
      <c r="J249" s="21" t="s">
        <v>26</v>
      </c>
      <c r="K249" s="20"/>
      <c r="L249" s="20" t="str">
        <f>CONCATENATE(參考!B$1,[資料表詳細]資料表詳細表格[[#This Row],[表名]])</f>
        <v>dmd_group_target</v>
      </c>
      <c r="M249" s="18" t="str">
        <f>VLOOKUP([資料表詳細]資料表詳細表格[[#This Row],[屬性類型(Postgre)]],選單!$A$3:$B$20,2,FALSE)</f>
        <v>Guid</v>
      </c>
      <c r="N249" s="20" t="str">
        <f>CONCATENATE(參考!B$2,[資料表詳細]資料表詳細表格[[#This Row],[欄位名稱(英)]])</f>
        <v>group_id</v>
      </c>
    </row>
    <row r="250" spans="1:14">
      <c r="A250" s="74">
        <v>245</v>
      </c>
      <c r="B250" s="22" t="s">
        <v>133</v>
      </c>
      <c r="C250" s="33" t="s">
        <v>312</v>
      </c>
      <c r="D250" s="19">
        <v>2</v>
      </c>
      <c r="E250" s="20" t="s">
        <v>118</v>
      </c>
      <c r="F250" s="20" t="s">
        <v>227</v>
      </c>
      <c r="G250" s="20" t="s">
        <v>0</v>
      </c>
      <c r="H250" s="21">
        <v>10</v>
      </c>
      <c r="I250" s="21" t="s">
        <v>32</v>
      </c>
      <c r="J250" s="21" t="s">
        <v>26</v>
      </c>
      <c r="K250" s="20"/>
      <c r="L250" s="20" t="str">
        <f>CONCATENATE(參考!B$1,[資料表詳細]資料表詳細表格[[#This Row],[表名]])</f>
        <v>dmd_group_target</v>
      </c>
      <c r="M250" s="18" t="str">
        <f>VLOOKUP([資料表詳細]資料表詳細表格[[#This Row],[屬性類型(Postgre)]],選單!$A$3:$B$20,2,FALSE)</f>
        <v>string</v>
      </c>
      <c r="N250" s="20" t="str">
        <f>CONCATENATE(參考!B$2,[資料表詳細]資料表詳細表格[[#This Row],[欄位名稱(英)]])</f>
        <v>station_id</v>
      </c>
    </row>
    <row r="251" spans="1:14">
      <c r="A251" s="74">
        <v>246</v>
      </c>
      <c r="B251" s="22" t="s">
        <v>133</v>
      </c>
      <c r="C251" s="33" t="s">
        <v>312</v>
      </c>
      <c r="D251" s="19">
        <v>3</v>
      </c>
      <c r="E251" s="20" t="s">
        <v>225</v>
      </c>
      <c r="F251" s="20" t="s">
        <v>229</v>
      </c>
      <c r="G251" s="20" t="s">
        <v>41</v>
      </c>
      <c r="H251" s="21">
        <v>10</v>
      </c>
      <c r="I251" s="21" t="s">
        <v>32</v>
      </c>
      <c r="J251" s="21" t="s">
        <v>26</v>
      </c>
      <c r="K251" s="20"/>
      <c r="L251" s="20" t="str">
        <f>CONCATENATE(參考!B$1,[資料表詳細]資料表詳細表格[[#This Row],[表名]])</f>
        <v>dmd_group_target</v>
      </c>
      <c r="M251" s="18" t="str">
        <f>VLOOKUP([資料表詳細]資料表詳細表格[[#This Row],[屬性類型(Postgre)]],選單!$A$3:$B$20,2,FALSE)</f>
        <v>string</v>
      </c>
      <c r="N251" s="20" t="str">
        <f>CONCATENATE(參考!B$2,[資料表詳細]資料表詳細表格[[#This Row],[欄位名稱(英)]])</f>
        <v>area_id</v>
      </c>
    </row>
    <row r="252" spans="1:14">
      <c r="A252" s="74">
        <v>247</v>
      </c>
      <c r="B252" s="22" t="s">
        <v>133</v>
      </c>
      <c r="C252" s="33" t="s">
        <v>312</v>
      </c>
      <c r="D252" s="19">
        <v>4</v>
      </c>
      <c r="E252" s="20" t="s">
        <v>126</v>
      </c>
      <c r="F252" s="20" t="s">
        <v>173</v>
      </c>
      <c r="G252" s="20" t="s">
        <v>0</v>
      </c>
      <c r="H252" s="21">
        <v>10</v>
      </c>
      <c r="I252" s="21" t="s">
        <v>32</v>
      </c>
      <c r="J252" s="21" t="s">
        <v>26</v>
      </c>
      <c r="K252" s="20"/>
      <c r="L252" s="20" t="str">
        <f>CONCATENATE(參考!B$1,[資料表詳細]資料表詳細表格[[#This Row],[表名]])</f>
        <v>dmd_group_target</v>
      </c>
      <c r="M252" s="18" t="str">
        <f>VLOOKUP([資料表詳細]資料表詳細表格[[#This Row],[屬性類型(Postgre)]],選單!$A$3:$B$20,2,FALSE)</f>
        <v>string</v>
      </c>
      <c r="N252" s="20" t="str">
        <f>CONCATENATE(參考!B$2,[資料表詳細]資料表詳細表格[[#This Row],[欄位名稱(英)]])</f>
        <v>device_id</v>
      </c>
    </row>
    <row r="253" spans="1:14">
      <c r="A253" s="74">
        <v>248</v>
      </c>
      <c r="B253" s="22" t="s">
        <v>133</v>
      </c>
      <c r="C253" s="33" t="s">
        <v>312</v>
      </c>
      <c r="D253" s="19">
        <v>5</v>
      </c>
      <c r="E253" s="20" t="s">
        <v>1</v>
      </c>
      <c r="F253" s="20" t="s">
        <v>2</v>
      </c>
      <c r="G253" s="20" t="s">
        <v>41</v>
      </c>
      <c r="H253" s="21">
        <v>20</v>
      </c>
      <c r="I253" s="21" t="s">
        <v>32</v>
      </c>
      <c r="J253" s="21"/>
      <c r="K253" s="20"/>
      <c r="L253" s="20" t="str">
        <f>CONCATENATE(參考!B$1,[資料表詳細]資料表詳細表格[[#This Row],[表名]])</f>
        <v>dmd_group_target</v>
      </c>
      <c r="M253" s="18" t="str">
        <f>VLOOKUP([資料表詳細]資料表詳細表格[[#This Row],[屬性類型(Postgre)]],選單!$A$3:$B$20,2,FALSE)</f>
        <v>string</v>
      </c>
      <c r="N253" s="20" t="str">
        <f>CONCATENATE(參考!B$2,[資料表詳細]資料表詳細表格[[#This Row],[欄位名稱(英)]])</f>
        <v>ins_user</v>
      </c>
    </row>
    <row r="254" spans="1:14">
      <c r="A254" s="74">
        <v>249</v>
      </c>
      <c r="B254" s="22" t="s">
        <v>133</v>
      </c>
      <c r="C254" s="33" t="s">
        <v>312</v>
      </c>
      <c r="D254" s="19">
        <v>6</v>
      </c>
      <c r="E254" s="20" t="s">
        <v>3</v>
      </c>
      <c r="F254" s="20" t="s">
        <v>4</v>
      </c>
      <c r="G254" s="20" t="s">
        <v>77</v>
      </c>
      <c r="H254" s="21"/>
      <c r="I254" s="21" t="s">
        <v>32</v>
      </c>
      <c r="J254" s="21"/>
      <c r="K254" s="20"/>
      <c r="L254" s="20" t="str">
        <f>CONCATENATE(參考!B$1,[資料表詳細]資料表詳細表格[[#This Row],[表名]])</f>
        <v>dmd_group_target</v>
      </c>
      <c r="M254" s="18" t="str">
        <f>VLOOKUP([資料表詳細]資料表詳細表格[[#This Row],[屬性類型(Postgre)]],選單!$A$3:$B$20,2,FALSE)</f>
        <v>DateTime</v>
      </c>
      <c r="N254" s="20" t="str">
        <f>CONCATENATE(參考!B$2,[資料表詳細]資料表詳細表格[[#This Row],[欄位名稱(英)]])</f>
        <v>ins_time</v>
      </c>
    </row>
    <row r="255" spans="1:14">
      <c r="A255" s="74">
        <v>250</v>
      </c>
      <c r="B255" s="22" t="s">
        <v>133</v>
      </c>
      <c r="C255" s="33" t="s">
        <v>312</v>
      </c>
      <c r="D255" s="19">
        <v>7</v>
      </c>
      <c r="E255" s="20" t="s">
        <v>6</v>
      </c>
      <c r="F255" s="20" t="s">
        <v>7</v>
      </c>
      <c r="G255" s="20" t="s">
        <v>41</v>
      </c>
      <c r="H255" s="21">
        <v>20</v>
      </c>
      <c r="I255" s="21" t="s">
        <v>32</v>
      </c>
      <c r="J255" s="21"/>
      <c r="K255" s="20"/>
      <c r="L255" s="20" t="str">
        <f>CONCATENATE(參考!B$1,[資料表詳細]資料表詳細表格[[#This Row],[表名]])</f>
        <v>dmd_group_target</v>
      </c>
      <c r="M255" s="18" t="str">
        <f>VLOOKUP([資料表詳細]資料表詳細表格[[#This Row],[屬性類型(Postgre)]],選單!$A$3:$B$20,2,FALSE)</f>
        <v>string</v>
      </c>
      <c r="N255" s="20" t="str">
        <f>CONCATENATE(參考!B$2,[資料表詳細]資料表詳細表格[[#This Row],[欄位名稱(英)]])</f>
        <v>upd_user</v>
      </c>
    </row>
    <row r="256" spans="1:14">
      <c r="A256" s="74">
        <v>251</v>
      </c>
      <c r="B256" s="22" t="s">
        <v>133</v>
      </c>
      <c r="C256" s="33" t="s">
        <v>312</v>
      </c>
      <c r="D256" s="19">
        <v>8</v>
      </c>
      <c r="E256" s="20" t="s">
        <v>8</v>
      </c>
      <c r="F256" s="20" t="s">
        <v>9</v>
      </c>
      <c r="G256" s="20" t="s">
        <v>77</v>
      </c>
      <c r="H256" s="21"/>
      <c r="I256" s="21" t="s">
        <v>32</v>
      </c>
      <c r="J256" s="21"/>
      <c r="K256" s="20"/>
      <c r="L256" s="20" t="str">
        <f>CONCATENATE(參考!B$1,[資料表詳細]資料表詳細表格[[#This Row],[表名]])</f>
        <v>dmd_group_target</v>
      </c>
      <c r="M256" s="18" t="str">
        <f>VLOOKUP([資料表詳細]資料表詳細表格[[#This Row],[屬性類型(Postgre)]],選單!$A$3:$B$20,2,FALSE)</f>
        <v>DateTime</v>
      </c>
      <c r="N256" s="20" t="str">
        <f>CONCATENATE(參考!B$2,[資料表詳細]資料表詳細表格[[#This Row],[欄位名稱(英)]])</f>
        <v>upd_time</v>
      </c>
    </row>
    <row r="257" spans="1:14">
      <c r="A257" s="74">
        <v>252</v>
      </c>
      <c r="B257" s="22" t="s">
        <v>133</v>
      </c>
      <c r="C257" s="18" t="s">
        <v>242</v>
      </c>
      <c r="D257" s="19">
        <v>1</v>
      </c>
      <c r="E257" s="20" t="s">
        <v>244</v>
      </c>
      <c r="F257" s="20" t="s">
        <v>257</v>
      </c>
      <c r="G257" s="20" t="s">
        <v>71</v>
      </c>
      <c r="H257" s="21"/>
      <c r="I257" s="21" t="s">
        <v>32</v>
      </c>
      <c r="J257" s="21" t="s">
        <v>26</v>
      </c>
      <c r="K257" s="20"/>
      <c r="L257" s="20" t="str">
        <f>CONCATENATE(參考!B$1,[資料表詳細]資料表詳細表格[[#This Row],[表名]])</f>
        <v>dmd_pre_record_message</v>
      </c>
      <c r="M257" s="18" t="str">
        <f>VLOOKUP([資料表詳細]資料表詳細表格[[#This Row],[屬性類型(Postgre)]],選單!$A$3:$B$20,2,FALSE)</f>
        <v>Guid</v>
      </c>
      <c r="N257" s="20" t="str">
        <f>CONCATENATE(參考!B$2,[資料表詳細]資料表詳細表格[[#This Row],[欄位名稱(英)]])</f>
        <v>message_id</v>
      </c>
    </row>
    <row r="258" spans="1:14">
      <c r="A258" s="74">
        <v>253</v>
      </c>
      <c r="B258" s="22" t="s">
        <v>133</v>
      </c>
      <c r="C258" s="33" t="s">
        <v>242</v>
      </c>
      <c r="D258" s="19">
        <v>2</v>
      </c>
      <c r="E258" s="20" t="s">
        <v>245</v>
      </c>
      <c r="F258" s="20" t="s">
        <v>258</v>
      </c>
      <c r="G258" s="20" t="s">
        <v>41</v>
      </c>
      <c r="H258" s="21">
        <v>60</v>
      </c>
      <c r="I258" s="21" t="s">
        <v>32</v>
      </c>
      <c r="J258" s="21"/>
      <c r="K258" s="20"/>
      <c r="L258" s="20" t="str">
        <f>CONCATENATE(參考!B$1,[資料表詳細]資料表詳細表格[[#This Row],[表名]])</f>
        <v>dmd_pre_record_message</v>
      </c>
      <c r="M258" s="18" t="str">
        <f>VLOOKUP([資料表詳細]資料表詳細表格[[#This Row],[屬性類型(Postgre)]],選單!$A$3:$B$20,2,FALSE)</f>
        <v>string</v>
      </c>
      <c r="N258" s="20" t="str">
        <f>CONCATENATE(參考!B$2,[資料表詳細]資料表詳細表格[[#This Row],[欄位名稱(英)]])</f>
        <v>message_name</v>
      </c>
    </row>
    <row r="259" spans="1:14">
      <c r="A259" s="74">
        <v>254</v>
      </c>
      <c r="B259" s="22" t="s">
        <v>133</v>
      </c>
      <c r="C259" s="33" t="s">
        <v>242</v>
      </c>
      <c r="D259" s="19">
        <v>3</v>
      </c>
      <c r="E259" s="20" t="s">
        <v>246</v>
      </c>
      <c r="F259" s="20" t="s">
        <v>259</v>
      </c>
      <c r="G259" s="20" t="s">
        <v>130</v>
      </c>
      <c r="H259" s="21"/>
      <c r="I259" s="21" t="s">
        <v>32</v>
      </c>
      <c r="J259" s="21"/>
      <c r="K259" s="23" t="s">
        <v>279</v>
      </c>
      <c r="L259" s="20" t="str">
        <f>CONCATENATE(參考!B$1,[資料表詳細]資料表詳細表格[[#This Row],[表名]])</f>
        <v>dmd_pre_record_message</v>
      </c>
      <c r="M259" s="18" t="str">
        <f>VLOOKUP([資料表詳細]資料表詳細表格[[#This Row],[屬性類型(Postgre)]],選單!$A$3:$B$20,2,FALSE)</f>
        <v>int</v>
      </c>
      <c r="N259" s="20" t="str">
        <f>CONCATENATE(參考!B$2,[資料表詳細]資料表詳細表格[[#This Row],[欄位名稱(英)]])</f>
        <v>message_type</v>
      </c>
    </row>
    <row r="260" spans="1:14">
      <c r="A260" s="74">
        <v>255</v>
      </c>
      <c r="B260" s="22" t="s">
        <v>133</v>
      </c>
      <c r="C260" s="33" t="s">
        <v>242</v>
      </c>
      <c r="D260" s="19">
        <v>4</v>
      </c>
      <c r="E260" s="20" t="s">
        <v>272</v>
      </c>
      <c r="F260" s="20" t="s">
        <v>260</v>
      </c>
      <c r="G260" s="20" t="s">
        <v>130</v>
      </c>
      <c r="H260" s="21"/>
      <c r="I260" s="21" t="s">
        <v>32</v>
      </c>
      <c r="J260" s="21"/>
      <c r="K260" s="20" t="s">
        <v>278</v>
      </c>
      <c r="L260" s="20" t="str">
        <f>CONCATENATE(參考!B$1,[資料表詳細]資料表詳細表格[[#This Row],[表名]])</f>
        <v>dmd_pre_record_message</v>
      </c>
      <c r="M260" s="18" t="str">
        <f>VLOOKUP([資料表詳細]資料表詳細表格[[#This Row],[屬性類型(Postgre)]],選單!$A$3:$B$20,2,FALSE)</f>
        <v>int</v>
      </c>
      <c r="N260" s="20" t="str">
        <f>CONCATENATE(參考!B$2,[資料表詳細]資料表詳細表格[[#This Row],[欄位名稱(英)]])</f>
        <v>message_priority</v>
      </c>
    </row>
    <row r="261" spans="1:14">
      <c r="A261" s="74">
        <v>256</v>
      </c>
      <c r="B261" s="22" t="s">
        <v>133</v>
      </c>
      <c r="C261" s="33" t="s">
        <v>242</v>
      </c>
      <c r="D261" s="19">
        <v>5</v>
      </c>
      <c r="E261" s="20" t="s">
        <v>251</v>
      </c>
      <c r="F261" s="20" t="s">
        <v>261</v>
      </c>
      <c r="G261" s="20" t="s">
        <v>130</v>
      </c>
      <c r="H261" s="21"/>
      <c r="I261" s="21" t="s">
        <v>32</v>
      </c>
      <c r="J261" s="21"/>
      <c r="K261" s="20"/>
      <c r="L261" s="20" t="str">
        <f>CONCATENATE(參考!B$1,[資料表詳細]資料表詳細表格[[#This Row],[表名]])</f>
        <v>dmd_pre_record_message</v>
      </c>
      <c r="M261" s="18" t="str">
        <f>VLOOKUP([資料表詳細]資料表詳細表格[[#This Row],[屬性類型(Postgre)]],選單!$A$3:$B$20,2,FALSE)</f>
        <v>int</v>
      </c>
      <c r="N261" s="20" t="str">
        <f>CONCATENATE(參考!B$2,[資料表詳細]資料表詳細表格[[#This Row],[欄位名稱(英)]])</f>
        <v>move_mode</v>
      </c>
    </row>
    <row r="262" spans="1:14">
      <c r="A262" s="74">
        <v>257</v>
      </c>
      <c r="B262" s="22" t="s">
        <v>133</v>
      </c>
      <c r="C262" s="33" t="s">
        <v>242</v>
      </c>
      <c r="D262" s="19">
        <v>6</v>
      </c>
      <c r="E262" s="20" t="s">
        <v>252</v>
      </c>
      <c r="F262" s="20" t="s">
        <v>262</v>
      </c>
      <c r="G262" s="20" t="s">
        <v>130</v>
      </c>
      <c r="H262" s="21"/>
      <c r="I262" s="21" t="s">
        <v>32</v>
      </c>
      <c r="J262" s="21"/>
      <c r="K262" s="20" t="s">
        <v>278</v>
      </c>
      <c r="L262" s="20" t="str">
        <f>CONCATENATE(參考!B$1,[資料表詳細]資料表詳細表格[[#This Row],[表名]])</f>
        <v>dmd_pre_record_message</v>
      </c>
      <c r="M262" s="18" t="str">
        <f>VLOOKUP([資料表詳細]資料表詳細表格[[#This Row],[屬性類型(Postgre)]],選單!$A$3:$B$20,2,FALSE)</f>
        <v>int</v>
      </c>
      <c r="N262" s="20" t="str">
        <f>CONCATENATE(參考!B$2,[資料表詳細]資料表詳細表格[[#This Row],[欄位名稱(英)]])</f>
        <v>move_speed</v>
      </c>
    </row>
    <row r="263" spans="1:14">
      <c r="A263" s="74">
        <v>258</v>
      </c>
      <c r="B263" s="22" t="s">
        <v>133</v>
      </c>
      <c r="C263" s="33" t="s">
        <v>242</v>
      </c>
      <c r="D263" s="19">
        <v>7</v>
      </c>
      <c r="E263" s="20" t="s">
        <v>253</v>
      </c>
      <c r="F263" s="20" t="s">
        <v>511</v>
      </c>
      <c r="G263" s="20" t="s">
        <v>41</v>
      </c>
      <c r="H263" s="21">
        <v>3</v>
      </c>
      <c r="I263" s="21" t="s">
        <v>32</v>
      </c>
      <c r="J263" s="21"/>
      <c r="K263" s="20"/>
      <c r="L263" s="20" t="str">
        <f>CONCATENATE(參考!B$1,[資料表詳細]資料表詳細表格[[#This Row],[表名]])</f>
        <v>dmd_pre_record_message</v>
      </c>
      <c r="M263" s="18" t="str">
        <f>VLOOKUP([資料表詳細]資料表詳細表格[[#This Row],[屬性類型(Postgre)]],選單!$A$3:$B$20,2,FALSE)</f>
        <v>string</v>
      </c>
      <c r="N263" s="20" t="str">
        <f>CONCATENATE(參考!B$2,[資料表詳細]資料表詳細表格[[#This Row],[欄位名稱(英)]])</f>
        <v>Interval</v>
      </c>
    </row>
    <row r="264" spans="1:14">
      <c r="A264" s="74">
        <v>259</v>
      </c>
      <c r="B264" s="22" t="s">
        <v>133</v>
      </c>
      <c r="C264" s="33" t="s">
        <v>242</v>
      </c>
      <c r="D264" s="19">
        <v>8</v>
      </c>
      <c r="E264" s="20" t="s">
        <v>247</v>
      </c>
      <c r="F264" s="20" t="s">
        <v>268</v>
      </c>
      <c r="G264" s="20" t="s">
        <v>41</v>
      </c>
      <c r="H264" s="21">
        <v>256</v>
      </c>
      <c r="I264" s="21" t="s">
        <v>32</v>
      </c>
      <c r="J264" s="21"/>
      <c r="K264" s="20"/>
      <c r="L264" s="20" t="str">
        <f>CONCATENATE(參考!B$1,[資料表詳細]資料表詳細表格[[#This Row],[表名]])</f>
        <v>dmd_pre_record_message</v>
      </c>
      <c r="M264" s="18" t="str">
        <f>VLOOKUP([資料表詳細]資料表詳細表格[[#This Row],[屬性類型(Postgre)]],選單!$A$3:$B$20,2,FALSE)</f>
        <v>string</v>
      </c>
      <c r="N264" s="20" t="str">
        <f>CONCATENATE(參考!B$2,[資料表詳細]資料表詳細表格[[#This Row],[欄位名稱(英)]])</f>
        <v>message_content</v>
      </c>
    </row>
    <row r="265" spans="1:14">
      <c r="A265" s="74">
        <v>260</v>
      </c>
      <c r="B265" s="22" t="s">
        <v>133</v>
      </c>
      <c r="C265" s="33" t="s">
        <v>242</v>
      </c>
      <c r="D265" s="19">
        <v>9</v>
      </c>
      <c r="E265" s="20" t="s">
        <v>254</v>
      </c>
      <c r="F265" s="20" t="s">
        <v>264</v>
      </c>
      <c r="G265" s="20" t="s">
        <v>41</v>
      </c>
      <c r="H265" s="21">
        <v>20</v>
      </c>
      <c r="I265" s="21" t="s">
        <v>32</v>
      </c>
      <c r="J265" s="21"/>
      <c r="K265" s="20" t="s">
        <v>276</v>
      </c>
      <c r="L265" s="20" t="str">
        <f>CONCATENATE(參考!B$1,[資料表詳細]資料表詳細表格[[#This Row],[表名]])</f>
        <v>dmd_pre_record_message</v>
      </c>
      <c r="M265" s="18" t="str">
        <f>VLOOKUP([資料表詳細]資料表詳細表格[[#This Row],[屬性類型(Postgre)]],選單!$A$3:$B$20,2,FALSE)</f>
        <v>string</v>
      </c>
      <c r="N265" s="20" t="str">
        <f>CONCATENATE(參考!B$2,[資料表詳細]資料表詳細表格[[#This Row],[欄位名稱(英)]])</f>
        <v>font_type</v>
      </c>
    </row>
    <row r="266" spans="1:14">
      <c r="A266" s="74">
        <v>261</v>
      </c>
      <c r="B266" s="22" t="s">
        <v>133</v>
      </c>
      <c r="C266" s="33" t="s">
        <v>242</v>
      </c>
      <c r="D266" s="19">
        <v>10</v>
      </c>
      <c r="E266" s="20" t="s">
        <v>248</v>
      </c>
      <c r="F266" s="20" t="s">
        <v>265</v>
      </c>
      <c r="G266" s="20" t="s">
        <v>130</v>
      </c>
      <c r="H266" s="21"/>
      <c r="I266" s="21" t="s">
        <v>32</v>
      </c>
      <c r="J266" s="21"/>
      <c r="K266" s="20" t="s">
        <v>274</v>
      </c>
      <c r="L266" s="20" t="str">
        <f>CONCATENATE(參考!B$1,[資料表詳細]資料表詳細表格[[#This Row],[表名]])</f>
        <v>dmd_pre_record_message</v>
      </c>
      <c r="M266" s="18" t="str">
        <f>VLOOKUP([資料表詳細]資料表詳細表格[[#This Row],[屬性類型(Postgre)]],選單!$A$3:$B$20,2,FALSE)</f>
        <v>int</v>
      </c>
      <c r="N266" s="20" t="str">
        <f>CONCATENATE(參考!B$2,[資料表詳細]資料表詳細表格[[#This Row],[欄位名稱(英)]])</f>
        <v>font_size</v>
      </c>
    </row>
    <row r="267" spans="1:14">
      <c r="A267" s="74">
        <v>262</v>
      </c>
      <c r="B267" s="22" t="s">
        <v>133</v>
      </c>
      <c r="C267" s="33" t="s">
        <v>242</v>
      </c>
      <c r="D267" s="19">
        <v>11</v>
      </c>
      <c r="E267" s="20" t="s">
        <v>255</v>
      </c>
      <c r="F267" s="20" t="s">
        <v>266</v>
      </c>
      <c r="G267" s="20" t="s">
        <v>14</v>
      </c>
      <c r="H267" s="21"/>
      <c r="I267" s="21" t="s">
        <v>32</v>
      </c>
      <c r="J267" s="21"/>
      <c r="K267" s="20" t="s">
        <v>275</v>
      </c>
      <c r="L267" s="20" t="str">
        <f>CONCATENATE(參考!B$1,[資料表詳細]資料表詳細表格[[#This Row],[表名]])</f>
        <v>dmd_pre_record_message</v>
      </c>
      <c r="M267" s="18" t="str">
        <f>VLOOKUP([資料表詳細]資料表詳細表格[[#This Row],[屬性類型(Postgre)]],選單!$A$3:$B$20,2,FALSE)</f>
        <v>string</v>
      </c>
      <c r="N267" s="20" t="str">
        <f>CONCATENATE(參考!B$2,[資料表詳細]資料表詳細表格[[#This Row],[欄位名稱(英)]])</f>
        <v>font_color</v>
      </c>
    </row>
    <row r="268" spans="1:14">
      <c r="A268" s="74">
        <v>263</v>
      </c>
      <c r="B268" s="22" t="s">
        <v>133</v>
      </c>
      <c r="C268" s="33" t="s">
        <v>242</v>
      </c>
      <c r="D268" s="19">
        <v>12</v>
      </c>
      <c r="E268" s="20" t="s">
        <v>249</v>
      </c>
      <c r="F268" s="20" t="s">
        <v>267</v>
      </c>
      <c r="G268" s="20" t="s">
        <v>41</v>
      </c>
      <c r="H268" s="21">
        <v>256</v>
      </c>
      <c r="I268" s="21" t="s">
        <v>32</v>
      </c>
      <c r="J268" s="21"/>
      <c r="K268" s="20"/>
      <c r="L268" s="20" t="str">
        <f>CONCATENATE(參考!B$1,[資料表詳細]資料表詳細表格[[#This Row],[表名]])</f>
        <v>dmd_pre_record_message</v>
      </c>
      <c r="M268" s="18" t="str">
        <f>VLOOKUP([資料表詳細]資料表詳細表格[[#This Row],[屬性類型(Postgre)]],選單!$A$3:$B$20,2,FALSE)</f>
        <v>string</v>
      </c>
      <c r="N268" s="20" t="str">
        <f>CONCATENATE(參考!B$2,[資料表詳細]資料表詳細表格[[#This Row],[欄位名稱(英)]])</f>
        <v>message_content_en</v>
      </c>
    </row>
    <row r="269" spans="1:14">
      <c r="A269" s="74">
        <v>264</v>
      </c>
      <c r="B269" s="22" t="s">
        <v>133</v>
      </c>
      <c r="C269" s="33" t="s">
        <v>242</v>
      </c>
      <c r="D269" s="19">
        <v>13</v>
      </c>
      <c r="E269" s="20" t="s">
        <v>273</v>
      </c>
      <c r="F269" s="20" t="s">
        <v>269</v>
      </c>
      <c r="G269" s="20" t="s">
        <v>41</v>
      </c>
      <c r="H269" s="21">
        <v>20</v>
      </c>
      <c r="I269" s="21" t="s">
        <v>32</v>
      </c>
      <c r="J269" s="21"/>
      <c r="K269" s="20" t="s">
        <v>277</v>
      </c>
      <c r="L269" s="20" t="str">
        <f>CONCATENATE(參考!B$1,[資料表詳細]資料表詳細表格[[#This Row],[表名]])</f>
        <v>dmd_pre_record_message</v>
      </c>
      <c r="M269" s="18" t="str">
        <f>VLOOKUP([資料表詳細]資料表詳細表格[[#This Row],[屬性類型(Postgre)]],選單!$A$3:$B$20,2,FALSE)</f>
        <v>string</v>
      </c>
      <c r="N269" s="20" t="str">
        <f>CONCATENATE(參考!B$2,[資料表詳細]資料表詳細表格[[#This Row],[欄位名稱(英)]])</f>
        <v>font_type_en</v>
      </c>
    </row>
    <row r="270" spans="1:14">
      <c r="A270" s="74">
        <v>265</v>
      </c>
      <c r="B270" s="22" t="s">
        <v>133</v>
      </c>
      <c r="C270" s="33" t="s">
        <v>242</v>
      </c>
      <c r="D270" s="19">
        <v>14</v>
      </c>
      <c r="E270" s="20" t="s">
        <v>250</v>
      </c>
      <c r="F270" s="20" t="s">
        <v>270</v>
      </c>
      <c r="G270" s="20" t="s">
        <v>130</v>
      </c>
      <c r="H270" s="21"/>
      <c r="I270" s="21" t="s">
        <v>32</v>
      </c>
      <c r="J270" s="21"/>
      <c r="K270" s="20" t="s">
        <v>274</v>
      </c>
      <c r="L270" s="20" t="str">
        <f>CONCATENATE(參考!B$1,[資料表詳細]資料表詳細表格[[#This Row],[表名]])</f>
        <v>dmd_pre_record_message</v>
      </c>
      <c r="M270" s="18" t="str">
        <f>VLOOKUP([資料表詳細]資料表詳細表格[[#This Row],[屬性類型(Postgre)]],選單!$A$3:$B$20,2,FALSE)</f>
        <v>int</v>
      </c>
      <c r="N270" s="20" t="str">
        <f>CONCATENATE(參考!B$2,[資料表詳細]資料表詳細表格[[#This Row],[欄位名稱(英)]])</f>
        <v>font_size_en</v>
      </c>
    </row>
    <row r="271" spans="1:14">
      <c r="A271" s="74">
        <v>266</v>
      </c>
      <c r="B271" s="22" t="s">
        <v>133</v>
      </c>
      <c r="C271" s="33" t="s">
        <v>242</v>
      </c>
      <c r="D271" s="19">
        <v>15</v>
      </c>
      <c r="E271" s="20" t="s">
        <v>256</v>
      </c>
      <c r="F271" s="20" t="s">
        <v>271</v>
      </c>
      <c r="G271" s="20" t="s">
        <v>14</v>
      </c>
      <c r="H271" s="21"/>
      <c r="I271" s="21" t="s">
        <v>32</v>
      </c>
      <c r="J271" s="21"/>
      <c r="K271" s="20" t="s">
        <v>275</v>
      </c>
      <c r="L271" s="20" t="str">
        <f>CONCATENATE(參考!B$1,[資料表詳細]資料表詳細表格[[#This Row],[表名]])</f>
        <v>dmd_pre_record_message</v>
      </c>
      <c r="M271" s="18" t="str">
        <f>VLOOKUP([資料表詳細]資料表詳細表格[[#This Row],[屬性類型(Postgre)]],選單!$A$3:$B$20,2,FALSE)</f>
        <v>string</v>
      </c>
      <c r="N271" s="20" t="str">
        <f>CONCATENATE(參考!B$2,[資料表詳細]資料表詳細表格[[#This Row],[欄位名稱(英)]])</f>
        <v>font_color_en</v>
      </c>
    </row>
    <row r="272" spans="1:14">
      <c r="A272" s="74">
        <v>267</v>
      </c>
      <c r="B272" s="22" t="s">
        <v>133</v>
      </c>
      <c r="C272" s="33" t="s">
        <v>242</v>
      </c>
      <c r="D272" s="19">
        <v>16</v>
      </c>
      <c r="E272" s="20" t="s">
        <v>1</v>
      </c>
      <c r="F272" s="20" t="s">
        <v>2</v>
      </c>
      <c r="G272" s="20" t="s">
        <v>41</v>
      </c>
      <c r="H272" s="21">
        <v>20</v>
      </c>
      <c r="I272" s="21" t="s">
        <v>32</v>
      </c>
      <c r="J272" s="21"/>
      <c r="K272" s="20"/>
      <c r="L272" s="20" t="str">
        <f>CONCATENATE(參考!B$1,[資料表詳細]資料表詳細表格[[#This Row],[表名]])</f>
        <v>dmd_pre_record_message</v>
      </c>
      <c r="M272" s="18" t="str">
        <f>VLOOKUP([資料表詳細]資料表詳細表格[[#This Row],[屬性類型(Postgre)]],選單!$A$3:$B$20,2,FALSE)</f>
        <v>string</v>
      </c>
      <c r="N272" s="20" t="str">
        <f>CONCATENATE(參考!B$2,[資料表詳細]資料表詳細表格[[#This Row],[欄位名稱(英)]])</f>
        <v>ins_user</v>
      </c>
    </row>
    <row r="273" spans="1:14">
      <c r="A273" s="74">
        <v>268</v>
      </c>
      <c r="B273" s="22" t="s">
        <v>133</v>
      </c>
      <c r="C273" s="33" t="s">
        <v>242</v>
      </c>
      <c r="D273" s="19">
        <v>17</v>
      </c>
      <c r="E273" s="20" t="s">
        <v>3</v>
      </c>
      <c r="F273" s="20" t="s">
        <v>4</v>
      </c>
      <c r="G273" s="20" t="s">
        <v>77</v>
      </c>
      <c r="H273" s="21"/>
      <c r="I273" s="21" t="s">
        <v>32</v>
      </c>
      <c r="J273" s="21"/>
      <c r="K273" s="20"/>
      <c r="L273" s="20" t="str">
        <f>CONCATENATE(參考!B$1,[資料表詳細]資料表詳細表格[[#This Row],[表名]])</f>
        <v>dmd_pre_record_message</v>
      </c>
      <c r="M273" s="18" t="str">
        <f>VLOOKUP([資料表詳細]資料表詳細表格[[#This Row],[屬性類型(Postgre)]],選單!$A$3:$B$20,2,FALSE)</f>
        <v>DateTime</v>
      </c>
      <c r="N273" s="20" t="str">
        <f>CONCATENATE(參考!B$2,[資料表詳細]資料表詳細表格[[#This Row],[欄位名稱(英)]])</f>
        <v>ins_time</v>
      </c>
    </row>
    <row r="274" spans="1:14">
      <c r="A274" s="74">
        <v>269</v>
      </c>
      <c r="B274" s="22" t="s">
        <v>133</v>
      </c>
      <c r="C274" s="33" t="s">
        <v>242</v>
      </c>
      <c r="D274" s="19">
        <v>18</v>
      </c>
      <c r="E274" s="20" t="s">
        <v>6</v>
      </c>
      <c r="F274" s="20" t="s">
        <v>7</v>
      </c>
      <c r="G274" s="20" t="s">
        <v>41</v>
      </c>
      <c r="H274" s="21">
        <v>20</v>
      </c>
      <c r="I274" s="21" t="s">
        <v>32</v>
      </c>
      <c r="J274" s="21"/>
      <c r="K274" s="20"/>
      <c r="L274" s="20" t="str">
        <f>CONCATENATE(參考!B$1,[資料表詳細]資料表詳細表格[[#This Row],[表名]])</f>
        <v>dmd_pre_record_message</v>
      </c>
      <c r="M274" s="18" t="str">
        <f>VLOOKUP([資料表詳細]資料表詳細表格[[#This Row],[屬性類型(Postgre)]],選單!$A$3:$B$20,2,FALSE)</f>
        <v>string</v>
      </c>
      <c r="N274" s="20" t="str">
        <f>CONCATENATE(參考!B$2,[資料表詳細]資料表詳細表格[[#This Row],[欄位名稱(英)]])</f>
        <v>upd_user</v>
      </c>
    </row>
    <row r="275" spans="1:14">
      <c r="A275" s="74">
        <v>270</v>
      </c>
      <c r="B275" s="22" t="s">
        <v>133</v>
      </c>
      <c r="C275" s="33" t="s">
        <v>242</v>
      </c>
      <c r="D275" s="19">
        <v>19</v>
      </c>
      <c r="E275" s="20" t="s">
        <v>8</v>
      </c>
      <c r="F275" s="20" t="s">
        <v>9</v>
      </c>
      <c r="G275" s="20" t="s">
        <v>77</v>
      </c>
      <c r="H275" s="21"/>
      <c r="I275" s="21" t="s">
        <v>32</v>
      </c>
      <c r="J275" s="21"/>
      <c r="K275" s="20"/>
      <c r="L275" s="20" t="str">
        <f>CONCATENATE(參考!B$1,[資料表詳細]資料表詳細表格[[#This Row],[表名]])</f>
        <v>dmd_pre_record_message</v>
      </c>
      <c r="M275" s="18" t="str">
        <f>VLOOKUP([資料表詳細]資料表詳細表格[[#This Row],[屬性類型(Postgre)]],選單!$A$3:$B$20,2,FALSE)</f>
        <v>DateTime</v>
      </c>
      <c r="N275" s="20" t="str">
        <f>CONCATENATE(參考!B$2,[資料表詳細]資料表詳細表格[[#This Row],[欄位名稱(英)]])</f>
        <v>upd_time</v>
      </c>
    </row>
    <row r="276" spans="1:14">
      <c r="A276" s="74">
        <v>271</v>
      </c>
      <c r="B276" s="22" t="s">
        <v>133</v>
      </c>
      <c r="C276" s="18" t="s">
        <v>283</v>
      </c>
      <c r="D276" s="19">
        <v>1</v>
      </c>
      <c r="E276" s="20" t="s">
        <v>244</v>
      </c>
      <c r="F276" s="20" t="s">
        <v>257</v>
      </c>
      <c r="G276" s="20" t="s">
        <v>71</v>
      </c>
      <c r="H276" s="21"/>
      <c r="I276" s="21" t="s">
        <v>32</v>
      </c>
      <c r="J276" s="21" t="s">
        <v>26</v>
      </c>
      <c r="K276" s="23"/>
      <c r="L276" s="20" t="str">
        <f>CONCATENATE(參考!B$1,[資料表詳細]資料表詳細表格[[#This Row],[表名]])</f>
        <v>dmd_instant_message</v>
      </c>
      <c r="M276" s="18" t="str">
        <f>VLOOKUP([資料表詳細]資料表詳細表格[[#This Row],[屬性類型(Postgre)]],選單!$A$3:$B$20,2,FALSE)</f>
        <v>Guid</v>
      </c>
      <c r="N276" s="20" t="str">
        <f>CONCATENATE(參考!B$2,[資料表詳細]資料表詳細表格[[#This Row],[欄位名稱(英)]])</f>
        <v>message_id</v>
      </c>
    </row>
    <row r="277" spans="1:14">
      <c r="A277" s="74">
        <v>272</v>
      </c>
      <c r="B277" s="22" t="s">
        <v>133</v>
      </c>
      <c r="C277" s="33" t="s">
        <v>283</v>
      </c>
      <c r="D277" s="19">
        <v>2</v>
      </c>
      <c r="E277" s="20" t="s">
        <v>246</v>
      </c>
      <c r="F277" s="20" t="s">
        <v>259</v>
      </c>
      <c r="G277" s="20" t="s">
        <v>130</v>
      </c>
      <c r="H277" s="21"/>
      <c r="I277" s="21" t="s">
        <v>32</v>
      </c>
      <c r="J277" s="21"/>
      <c r="K277" s="23" t="s">
        <v>279</v>
      </c>
      <c r="L277" s="20" t="str">
        <f>CONCATENATE(參考!B$1,[資料表詳細]資料表詳細表格[[#This Row],[表名]])</f>
        <v>dmd_instant_message</v>
      </c>
      <c r="M277" s="18" t="str">
        <f>VLOOKUP([資料表詳細]資料表詳細表格[[#This Row],[屬性類型(Postgre)]],選單!$A$3:$B$20,2,FALSE)</f>
        <v>int</v>
      </c>
      <c r="N277" s="20" t="str">
        <f>CONCATENATE(參考!B$2,[資料表詳細]資料表詳細表格[[#This Row],[欄位名稱(英)]])</f>
        <v>message_type</v>
      </c>
    </row>
    <row r="278" spans="1:14">
      <c r="A278" s="74">
        <v>273</v>
      </c>
      <c r="B278" s="22" t="s">
        <v>133</v>
      </c>
      <c r="C278" s="33" t="s">
        <v>283</v>
      </c>
      <c r="D278" s="19">
        <v>3</v>
      </c>
      <c r="E278" s="20" t="s">
        <v>272</v>
      </c>
      <c r="F278" s="20" t="s">
        <v>260</v>
      </c>
      <c r="G278" s="20" t="s">
        <v>130</v>
      </c>
      <c r="H278" s="21"/>
      <c r="I278" s="21" t="s">
        <v>32</v>
      </c>
      <c r="J278" s="21"/>
      <c r="K278" s="20" t="s">
        <v>278</v>
      </c>
      <c r="L278" s="20" t="str">
        <f>CONCATENATE(參考!B$1,[資料表詳細]資料表詳細表格[[#This Row],[表名]])</f>
        <v>dmd_instant_message</v>
      </c>
      <c r="M278" s="18" t="str">
        <f>VLOOKUP([資料表詳細]資料表詳細表格[[#This Row],[屬性類型(Postgre)]],選單!$A$3:$B$20,2,FALSE)</f>
        <v>int</v>
      </c>
      <c r="N278" s="20" t="str">
        <f>CONCATENATE(參考!B$2,[資料表詳細]資料表詳細表格[[#This Row],[欄位名稱(英)]])</f>
        <v>message_priority</v>
      </c>
    </row>
    <row r="279" spans="1:14">
      <c r="A279" s="74">
        <v>274</v>
      </c>
      <c r="B279" s="22" t="s">
        <v>133</v>
      </c>
      <c r="C279" s="33" t="s">
        <v>283</v>
      </c>
      <c r="D279" s="19">
        <v>4</v>
      </c>
      <c r="E279" s="20" t="s">
        <v>251</v>
      </c>
      <c r="F279" s="20" t="s">
        <v>261</v>
      </c>
      <c r="G279" s="20" t="s">
        <v>130</v>
      </c>
      <c r="H279" s="21"/>
      <c r="I279" s="21" t="s">
        <v>32</v>
      </c>
      <c r="J279" s="21"/>
      <c r="K279" s="20"/>
      <c r="L279" s="20" t="str">
        <f>CONCATENATE(參考!B$1,[資料表詳細]資料表詳細表格[[#This Row],[表名]])</f>
        <v>dmd_instant_message</v>
      </c>
      <c r="M279" s="18" t="str">
        <f>VLOOKUP([資料表詳細]資料表詳細表格[[#This Row],[屬性類型(Postgre)]],選單!$A$3:$B$20,2,FALSE)</f>
        <v>int</v>
      </c>
      <c r="N279" s="20" t="str">
        <f>CONCATENATE(參考!B$2,[資料表詳細]資料表詳細表格[[#This Row],[欄位名稱(英)]])</f>
        <v>move_mode</v>
      </c>
    </row>
    <row r="280" spans="1:14">
      <c r="A280" s="74">
        <v>275</v>
      </c>
      <c r="B280" s="22" t="s">
        <v>133</v>
      </c>
      <c r="C280" s="33" t="s">
        <v>283</v>
      </c>
      <c r="D280" s="19">
        <v>5</v>
      </c>
      <c r="E280" s="20" t="s">
        <v>252</v>
      </c>
      <c r="F280" s="20" t="s">
        <v>262</v>
      </c>
      <c r="G280" s="20" t="s">
        <v>130</v>
      </c>
      <c r="H280" s="21"/>
      <c r="I280" s="21" t="s">
        <v>32</v>
      </c>
      <c r="J280" s="21"/>
      <c r="K280" s="20" t="s">
        <v>278</v>
      </c>
      <c r="L280" s="20" t="str">
        <f>CONCATENATE(參考!B$1,[資料表詳細]資料表詳細表格[[#This Row],[表名]])</f>
        <v>dmd_instant_message</v>
      </c>
      <c r="M280" s="18" t="str">
        <f>VLOOKUP([資料表詳細]資料表詳細表格[[#This Row],[屬性類型(Postgre)]],選單!$A$3:$B$20,2,FALSE)</f>
        <v>int</v>
      </c>
      <c r="N280" s="20" t="str">
        <f>CONCATENATE(參考!B$2,[資料表詳細]資料表詳細表格[[#This Row],[欄位名稱(英)]])</f>
        <v>move_speed</v>
      </c>
    </row>
    <row r="281" spans="1:14">
      <c r="A281" s="74">
        <v>276</v>
      </c>
      <c r="B281" s="22" t="s">
        <v>133</v>
      </c>
      <c r="C281" s="33" t="s">
        <v>283</v>
      </c>
      <c r="D281" s="19">
        <v>6</v>
      </c>
      <c r="E281" s="20" t="s">
        <v>253</v>
      </c>
      <c r="F281" s="20" t="s">
        <v>263</v>
      </c>
      <c r="G281" s="20" t="s">
        <v>41</v>
      </c>
      <c r="H281" s="21">
        <v>3</v>
      </c>
      <c r="I281" s="21" t="s">
        <v>32</v>
      </c>
      <c r="J281" s="21"/>
      <c r="K281" s="20"/>
      <c r="L281" s="20" t="str">
        <f>CONCATENATE(參考!B$1,[資料表詳細]資料表詳細表格[[#This Row],[表名]])</f>
        <v>dmd_instant_message</v>
      </c>
      <c r="M281" s="18" t="str">
        <f>VLOOKUP([資料表詳細]資料表詳細表格[[#This Row],[屬性類型(Postgre)]],選單!$A$3:$B$20,2,FALSE)</f>
        <v>string</v>
      </c>
      <c r="N281" s="20" t="str">
        <f>CONCATENATE(參考!B$2,[資料表詳細]資料表詳細表格[[#This Row],[欄位名稱(英)]])</f>
        <v>Interval</v>
      </c>
    </row>
    <row r="282" spans="1:14">
      <c r="A282" s="74">
        <v>277</v>
      </c>
      <c r="B282" s="22" t="s">
        <v>133</v>
      </c>
      <c r="C282" s="33" t="s">
        <v>283</v>
      </c>
      <c r="D282" s="19">
        <v>7</v>
      </c>
      <c r="E282" s="20" t="s">
        <v>247</v>
      </c>
      <c r="F282" s="20" t="s">
        <v>268</v>
      </c>
      <c r="G282" s="20" t="s">
        <v>41</v>
      </c>
      <c r="H282" s="21">
        <v>256</v>
      </c>
      <c r="I282" s="21" t="s">
        <v>32</v>
      </c>
      <c r="J282" s="21"/>
      <c r="K282" s="20"/>
      <c r="L282" s="20" t="str">
        <f>CONCATENATE(參考!B$1,[資料表詳細]資料表詳細表格[[#This Row],[表名]])</f>
        <v>dmd_instant_message</v>
      </c>
      <c r="M282" s="18" t="str">
        <f>VLOOKUP([資料表詳細]資料表詳細表格[[#This Row],[屬性類型(Postgre)]],選單!$A$3:$B$20,2,FALSE)</f>
        <v>string</v>
      </c>
      <c r="N282" s="20" t="str">
        <f>CONCATENATE(參考!B$2,[資料表詳細]資料表詳細表格[[#This Row],[欄位名稱(英)]])</f>
        <v>message_content</v>
      </c>
    </row>
    <row r="283" spans="1:14">
      <c r="A283" s="74">
        <v>278</v>
      </c>
      <c r="B283" s="22" t="s">
        <v>133</v>
      </c>
      <c r="C283" s="33" t="s">
        <v>283</v>
      </c>
      <c r="D283" s="19">
        <v>8</v>
      </c>
      <c r="E283" s="20" t="s">
        <v>254</v>
      </c>
      <c r="F283" s="20" t="s">
        <v>264</v>
      </c>
      <c r="G283" s="20" t="s">
        <v>41</v>
      </c>
      <c r="H283" s="21">
        <v>20</v>
      </c>
      <c r="I283" s="21" t="s">
        <v>32</v>
      </c>
      <c r="J283" s="21"/>
      <c r="K283" s="20" t="s">
        <v>276</v>
      </c>
      <c r="L283" s="20" t="str">
        <f>CONCATENATE(參考!B$1,[資料表詳細]資料表詳細表格[[#This Row],[表名]])</f>
        <v>dmd_instant_message</v>
      </c>
      <c r="M283" s="18" t="str">
        <f>VLOOKUP([資料表詳細]資料表詳細表格[[#This Row],[屬性類型(Postgre)]],選單!$A$3:$B$20,2,FALSE)</f>
        <v>string</v>
      </c>
      <c r="N283" s="20" t="str">
        <f>CONCATENATE(參考!B$2,[資料表詳細]資料表詳細表格[[#This Row],[欄位名稱(英)]])</f>
        <v>font_type</v>
      </c>
    </row>
    <row r="284" spans="1:14">
      <c r="A284" s="74">
        <v>279</v>
      </c>
      <c r="B284" s="22" t="s">
        <v>133</v>
      </c>
      <c r="C284" s="33" t="s">
        <v>283</v>
      </c>
      <c r="D284" s="19">
        <v>9</v>
      </c>
      <c r="E284" s="20" t="s">
        <v>248</v>
      </c>
      <c r="F284" s="20" t="s">
        <v>265</v>
      </c>
      <c r="G284" s="20" t="s">
        <v>130</v>
      </c>
      <c r="H284" s="21"/>
      <c r="I284" s="21" t="s">
        <v>32</v>
      </c>
      <c r="J284" s="21"/>
      <c r="K284" s="20" t="s">
        <v>274</v>
      </c>
      <c r="L284" s="20" t="str">
        <f>CONCATENATE(參考!B$1,[資料表詳細]資料表詳細表格[[#This Row],[表名]])</f>
        <v>dmd_instant_message</v>
      </c>
      <c r="M284" s="18" t="str">
        <f>VLOOKUP([資料表詳細]資料表詳細表格[[#This Row],[屬性類型(Postgre)]],選單!$A$3:$B$20,2,FALSE)</f>
        <v>int</v>
      </c>
      <c r="N284" s="20" t="str">
        <f>CONCATENATE(參考!B$2,[資料表詳細]資料表詳細表格[[#This Row],[欄位名稱(英)]])</f>
        <v>font_size</v>
      </c>
    </row>
    <row r="285" spans="1:14">
      <c r="A285" s="74">
        <v>280</v>
      </c>
      <c r="B285" s="22" t="s">
        <v>133</v>
      </c>
      <c r="C285" s="33" t="s">
        <v>283</v>
      </c>
      <c r="D285" s="19">
        <v>10</v>
      </c>
      <c r="E285" s="20" t="s">
        <v>255</v>
      </c>
      <c r="F285" s="20" t="s">
        <v>266</v>
      </c>
      <c r="G285" s="20" t="s">
        <v>14</v>
      </c>
      <c r="H285" s="21"/>
      <c r="I285" s="21" t="s">
        <v>32</v>
      </c>
      <c r="J285" s="21"/>
      <c r="K285" s="20" t="s">
        <v>275</v>
      </c>
      <c r="L285" s="20" t="str">
        <f>CONCATENATE(參考!B$1,[資料表詳細]資料表詳細表格[[#This Row],[表名]])</f>
        <v>dmd_instant_message</v>
      </c>
      <c r="M285" s="18" t="str">
        <f>VLOOKUP([資料表詳細]資料表詳細表格[[#This Row],[屬性類型(Postgre)]],選單!$A$3:$B$20,2,FALSE)</f>
        <v>string</v>
      </c>
      <c r="N285" s="20" t="str">
        <f>CONCATENATE(參考!B$2,[資料表詳細]資料表詳細表格[[#This Row],[欄位名稱(英)]])</f>
        <v>font_color</v>
      </c>
    </row>
    <row r="286" spans="1:14">
      <c r="A286" s="74">
        <v>281</v>
      </c>
      <c r="B286" s="22" t="s">
        <v>133</v>
      </c>
      <c r="C286" s="33" t="s">
        <v>283</v>
      </c>
      <c r="D286" s="19">
        <v>11</v>
      </c>
      <c r="E286" s="20" t="s">
        <v>249</v>
      </c>
      <c r="F286" s="20" t="s">
        <v>267</v>
      </c>
      <c r="G286" s="20" t="s">
        <v>41</v>
      </c>
      <c r="H286" s="21">
        <v>256</v>
      </c>
      <c r="I286" s="21" t="s">
        <v>32</v>
      </c>
      <c r="J286" s="21"/>
      <c r="K286" s="20"/>
      <c r="L286" s="20" t="str">
        <f>CONCATENATE(參考!B$1,[資料表詳細]資料表詳細表格[[#This Row],[表名]])</f>
        <v>dmd_instant_message</v>
      </c>
      <c r="M286" s="18" t="str">
        <f>VLOOKUP([資料表詳細]資料表詳細表格[[#This Row],[屬性類型(Postgre)]],選單!$A$3:$B$20,2,FALSE)</f>
        <v>string</v>
      </c>
      <c r="N286" s="20" t="str">
        <f>CONCATENATE(參考!B$2,[資料表詳細]資料表詳細表格[[#This Row],[欄位名稱(英)]])</f>
        <v>message_content_en</v>
      </c>
    </row>
    <row r="287" spans="1:14">
      <c r="A287" s="74">
        <v>282</v>
      </c>
      <c r="B287" s="22" t="s">
        <v>133</v>
      </c>
      <c r="C287" s="33" t="s">
        <v>283</v>
      </c>
      <c r="D287" s="19">
        <v>12</v>
      </c>
      <c r="E287" s="20" t="s">
        <v>273</v>
      </c>
      <c r="F287" s="20" t="s">
        <v>269</v>
      </c>
      <c r="G287" s="20" t="s">
        <v>41</v>
      </c>
      <c r="H287" s="21">
        <v>20</v>
      </c>
      <c r="I287" s="21" t="s">
        <v>32</v>
      </c>
      <c r="J287" s="21"/>
      <c r="K287" s="20" t="s">
        <v>277</v>
      </c>
      <c r="L287" s="20" t="str">
        <f>CONCATENATE(參考!B$1,[資料表詳細]資料表詳細表格[[#This Row],[表名]])</f>
        <v>dmd_instant_message</v>
      </c>
      <c r="M287" s="18" t="str">
        <f>VLOOKUP([資料表詳細]資料表詳細表格[[#This Row],[屬性類型(Postgre)]],選單!$A$3:$B$20,2,FALSE)</f>
        <v>string</v>
      </c>
      <c r="N287" s="20" t="str">
        <f>CONCATENATE(參考!B$2,[資料表詳細]資料表詳細表格[[#This Row],[欄位名稱(英)]])</f>
        <v>font_type_en</v>
      </c>
    </row>
    <row r="288" spans="1:14">
      <c r="A288" s="74">
        <v>283</v>
      </c>
      <c r="B288" s="22" t="s">
        <v>133</v>
      </c>
      <c r="C288" s="33" t="s">
        <v>283</v>
      </c>
      <c r="D288" s="19">
        <v>13</v>
      </c>
      <c r="E288" s="20" t="s">
        <v>250</v>
      </c>
      <c r="F288" s="20" t="s">
        <v>270</v>
      </c>
      <c r="G288" s="20" t="s">
        <v>130</v>
      </c>
      <c r="H288" s="21"/>
      <c r="I288" s="21" t="s">
        <v>32</v>
      </c>
      <c r="J288" s="21"/>
      <c r="K288" s="20" t="s">
        <v>274</v>
      </c>
      <c r="L288" s="20" t="str">
        <f>CONCATENATE(參考!B$1,[資料表詳細]資料表詳細表格[[#This Row],[表名]])</f>
        <v>dmd_instant_message</v>
      </c>
      <c r="M288" s="18" t="str">
        <f>VLOOKUP([資料表詳細]資料表詳細表格[[#This Row],[屬性類型(Postgre)]],選單!$A$3:$B$20,2,FALSE)</f>
        <v>int</v>
      </c>
      <c r="N288" s="20" t="str">
        <f>CONCATENATE(參考!B$2,[資料表詳細]資料表詳細表格[[#This Row],[欄位名稱(英)]])</f>
        <v>font_size_en</v>
      </c>
    </row>
    <row r="289" spans="1:14">
      <c r="A289" s="74">
        <v>284</v>
      </c>
      <c r="B289" s="22" t="s">
        <v>133</v>
      </c>
      <c r="C289" s="33" t="s">
        <v>283</v>
      </c>
      <c r="D289" s="19">
        <v>14</v>
      </c>
      <c r="E289" s="20" t="s">
        <v>256</v>
      </c>
      <c r="F289" s="20" t="s">
        <v>271</v>
      </c>
      <c r="G289" s="20" t="s">
        <v>14</v>
      </c>
      <c r="H289" s="21"/>
      <c r="I289" s="21" t="s">
        <v>32</v>
      </c>
      <c r="J289" s="21"/>
      <c r="K289" s="20" t="s">
        <v>275</v>
      </c>
      <c r="L289" s="20" t="str">
        <f>CONCATENATE(參考!B$1,[資料表詳細]資料表詳細表格[[#This Row],[表名]])</f>
        <v>dmd_instant_message</v>
      </c>
      <c r="M289" s="18" t="str">
        <f>VLOOKUP([資料表詳細]資料表詳細表格[[#This Row],[屬性類型(Postgre)]],選單!$A$3:$B$20,2,FALSE)</f>
        <v>string</v>
      </c>
      <c r="N289" s="20" t="str">
        <f>CONCATENATE(參考!B$2,[資料表詳細]資料表詳細表格[[#This Row],[欄位名稱(英)]])</f>
        <v>font_color_en</v>
      </c>
    </row>
    <row r="290" spans="1:14">
      <c r="A290" s="74">
        <v>285</v>
      </c>
      <c r="B290" s="22" t="s">
        <v>133</v>
      </c>
      <c r="C290" s="33" t="s">
        <v>283</v>
      </c>
      <c r="D290" s="19">
        <v>15</v>
      </c>
      <c r="E290" s="20" t="s">
        <v>1</v>
      </c>
      <c r="F290" s="20" t="s">
        <v>2</v>
      </c>
      <c r="G290" s="20" t="s">
        <v>41</v>
      </c>
      <c r="H290" s="21">
        <v>20</v>
      </c>
      <c r="I290" s="21" t="s">
        <v>32</v>
      </c>
      <c r="J290" s="21"/>
      <c r="K290" s="20"/>
      <c r="L290" s="20" t="str">
        <f>CONCATENATE(參考!B$1,[資料表詳細]資料表詳細表格[[#This Row],[表名]])</f>
        <v>dmd_instant_message</v>
      </c>
      <c r="M290" s="18" t="str">
        <f>VLOOKUP([資料表詳細]資料表詳細表格[[#This Row],[屬性類型(Postgre)]],選單!$A$3:$B$20,2,FALSE)</f>
        <v>string</v>
      </c>
      <c r="N290" s="20" t="str">
        <f>CONCATENATE(參考!B$2,[資料表詳細]資料表詳細表格[[#This Row],[欄位名稱(英)]])</f>
        <v>ins_user</v>
      </c>
    </row>
    <row r="291" spans="1:14">
      <c r="A291" s="74">
        <v>286</v>
      </c>
      <c r="B291" s="22" t="s">
        <v>133</v>
      </c>
      <c r="C291" s="33" t="s">
        <v>283</v>
      </c>
      <c r="D291" s="19">
        <v>16</v>
      </c>
      <c r="E291" s="20" t="s">
        <v>3</v>
      </c>
      <c r="F291" s="20" t="s">
        <v>4</v>
      </c>
      <c r="G291" s="20" t="s">
        <v>77</v>
      </c>
      <c r="H291" s="21"/>
      <c r="I291" s="21" t="s">
        <v>32</v>
      </c>
      <c r="J291" s="21"/>
      <c r="K291" s="20"/>
      <c r="L291" s="20" t="str">
        <f>CONCATENATE(參考!B$1,[資料表詳細]資料表詳細表格[[#This Row],[表名]])</f>
        <v>dmd_instant_message</v>
      </c>
      <c r="M291" s="18" t="str">
        <f>VLOOKUP([資料表詳細]資料表詳細表格[[#This Row],[屬性類型(Postgre)]],選單!$A$3:$B$20,2,FALSE)</f>
        <v>DateTime</v>
      </c>
      <c r="N291" s="20" t="str">
        <f>CONCATENATE(參考!B$2,[資料表詳細]資料表詳細表格[[#This Row],[欄位名稱(英)]])</f>
        <v>ins_time</v>
      </c>
    </row>
    <row r="292" spans="1:14">
      <c r="A292" s="74">
        <v>287</v>
      </c>
      <c r="B292" s="22" t="s">
        <v>133</v>
      </c>
      <c r="C292" s="33" t="s">
        <v>283</v>
      </c>
      <c r="D292" s="19">
        <v>17</v>
      </c>
      <c r="E292" s="20" t="s">
        <v>6</v>
      </c>
      <c r="F292" s="20" t="s">
        <v>7</v>
      </c>
      <c r="G292" s="20" t="s">
        <v>41</v>
      </c>
      <c r="H292" s="21">
        <v>20</v>
      </c>
      <c r="I292" s="21" t="s">
        <v>32</v>
      </c>
      <c r="J292" s="21"/>
      <c r="K292" s="20"/>
      <c r="L292" s="20" t="str">
        <f>CONCATENATE(參考!B$1,[資料表詳細]資料表詳細表格[[#This Row],[表名]])</f>
        <v>dmd_instant_message</v>
      </c>
      <c r="M292" s="18" t="str">
        <f>VLOOKUP([資料表詳細]資料表詳細表格[[#This Row],[屬性類型(Postgre)]],選單!$A$3:$B$20,2,FALSE)</f>
        <v>string</v>
      </c>
      <c r="N292" s="20" t="str">
        <f>CONCATENATE(參考!B$2,[資料表詳細]資料表詳細表格[[#This Row],[欄位名稱(英)]])</f>
        <v>upd_user</v>
      </c>
    </row>
    <row r="293" spans="1:14">
      <c r="A293" s="74">
        <v>288</v>
      </c>
      <c r="B293" s="22" t="s">
        <v>133</v>
      </c>
      <c r="C293" s="33" t="s">
        <v>283</v>
      </c>
      <c r="D293" s="19">
        <v>18</v>
      </c>
      <c r="E293" s="20" t="s">
        <v>8</v>
      </c>
      <c r="F293" s="20" t="s">
        <v>9</v>
      </c>
      <c r="G293" s="20" t="s">
        <v>77</v>
      </c>
      <c r="H293" s="21"/>
      <c r="I293" s="21" t="s">
        <v>32</v>
      </c>
      <c r="J293" s="21"/>
      <c r="K293" s="20"/>
      <c r="L293" s="20" t="str">
        <f>CONCATENATE(參考!B$1,[資料表詳細]資料表詳細表格[[#This Row],[表名]])</f>
        <v>dmd_instant_message</v>
      </c>
      <c r="M293" s="18" t="str">
        <f>VLOOKUP([資料表詳細]資料表詳細表格[[#This Row],[屬性類型(Postgre)]],選單!$A$3:$B$20,2,FALSE)</f>
        <v>DateTime</v>
      </c>
      <c r="N293" s="20" t="str">
        <f>CONCATENATE(參考!B$2,[資料表詳細]資料表詳細表格[[#This Row],[欄位名稱(英)]])</f>
        <v>upd_time</v>
      </c>
    </row>
    <row r="294" spans="1:14">
      <c r="A294" s="74">
        <v>289</v>
      </c>
      <c r="B294" s="22" t="s">
        <v>133</v>
      </c>
      <c r="C294" s="18" t="s">
        <v>369</v>
      </c>
      <c r="D294" s="19">
        <v>1</v>
      </c>
      <c r="E294" s="20" t="s">
        <v>244</v>
      </c>
      <c r="F294" s="20" t="s">
        <v>257</v>
      </c>
      <c r="G294" s="20" t="s">
        <v>41</v>
      </c>
      <c r="H294" s="21">
        <v>10</v>
      </c>
      <c r="I294" s="21" t="s">
        <v>32</v>
      </c>
      <c r="J294" s="21" t="s">
        <v>26</v>
      </c>
      <c r="K294" s="23"/>
      <c r="L294" s="20" t="str">
        <f>CONCATENATE(參考!B$1,[資料表詳細]資料表詳細表格[[#This Row],[表名]])</f>
        <v>dmd_train_message</v>
      </c>
      <c r="M294" s="18" t="str">
        <f>VLOOKUP([資料表詳細]資料表詳細表格[[#This Row],[屬性類型(Postgre)]],選單!$A$3:$B$20,2,FALSE)</f>
        <v>string</v>
      </c>
      <c r="N294" s="20" t="str">
        <f>CONCATENATE(參考!B$2,[資料表詳細]資料表詳細表格[[#This Row],[欄位名稱(英)]])</f>
        <v>message_id</v>
      </c>
    </row>
    <row r="295" spans="1:14">
      <c r="A295" s="74">
        <v>290</v>
      </c>
      <c r="B295" s="22" t="s">
        <v>133</v>
      </c>
      <c r="C295" s="33" t="s">
        <v>369</v>
      </c>
      <c r="D295" s="19">
        <v>2</v>
      </c>
      <c r="E295" s="20" t="s">
        <v>246</v>
      </c>
      <c r="F295" s="20" t="s">
        <v>259</v>
      </c>
      <c r="G295" s="20" t="s">
        <v>130</v>
      </c>
      <c r="H295" s="21"/>
      <c r="I295" s="21" t="s">
        <v>32</v>
      </c>
      <c r="J295" s="21"/>
      <c r="K295" s="23" t="s">
        <v>279</v>
      </c>
      <c r="L295" s="20" t="str">
        <f>CONCATENATE(參考!B$1,[資料表詳細]資料表詳細表格[[#This Row],[表名]])</f>
        <v>dmd_train_message</v>
      </c>
      <c r="M295" s="18" t="str">
        <f>VLOOKUP([資料表詳細]資料表詳細表格[[#This Row],[屬性類型(Postgre)]],選單!$A$3:$B$20,2,FALSE)</f>
        <v>int</v>
      </c>
      <c r="N295" s="20" t="str">
        <f>CONCATENATE(參考!B$2,[資料表詳細]資料表詳細表格[[#This Row],[欄位名稱(英)]])</f>
        <v>message_type</v>
      </c>
    </row>
    <row r="296" spans="1:14">
      <c r="A296" s="74">
        <v>291</v>
      </c>
      <c r="B296" s="22" t="s">
        <v>133</v>
      </c>
      <c r="C296" s="33" t="s">
        <v>369</v>
      </c>
      <c r="D296" s="19">
        <v>3</v>
      </c>
      <c r="E296" s="20" t="s">
        <v>370</v>
      </c>
      <c r="F296" s="20" t="s">
        <v>371</v>
      </c>
      <c r="G296" s="20" t="s">
        <v>130</v>
      </c>
      <c r="H296" s="21"/>
      <c r="I296" s="21" t="s">
        <v>32</v>
      </c>
      <c r="J296" s="21"/>
      <c r="K296" s="20"/>
      <c r="L296" s="20" t="str">
        <f>CONCATENATE(參考!B$1,[資料表詳細]資料表詳細表格[[#This Row],[表名]])</f>
        <v>dmd_train_message</v>
      </c>
      <c r="M296" s="18" t="str">
        <f>VLOOKUP([資料表詳細]資料表詳細表格[[#This Row],[屬性類型(Postgre)]],選單!$A$3:$B$20,2,FALSE)</f>
        <v>int</v>
      </c>
      <c r="N296" s="20" t="str">
        <f>CONCATENATE(參考!B$2,[資料表詳細]資料表詳細表格[[#This Row],[欄位名稱(英)]])</f>
        <v>message_subtype</v>
      </c>
    </row>
    <row r="297" spans="1:14">
      <c r="A297" s="74">
        <v>292</v>
      </c>
      <c r="B297" s="22" t="s">
        <v>133</v>
      </c>
      <c r="C297" s="33" t="s">
        <v>369</v>
      </c>
      <c r="D297" s="19">
        <v>4</v>
      </c>
      <c r="E297" s="20" t="s">
        <v>272</v>
      </c>
      <c r="F297" s="20" t="s">
        <v>260</v>
      </c>
      <c r="G297" s="20" t="s">
        <v>130</v>
      </c>
      <c r="H297" s="21"/>
      <c r="I297" s="21" t="s">
        <v>32</v>
      </c>
      <c r="J297" s="21"/>
      <c r="K297" s="20" t="s">
        <v>278</v>
      </c>
      <c r="L297" s="20" t="str">
        <f>CONCATENATE(參考!B$1,[資料表詳細]資料表詳細表格[[#This Row],[表名]])</f>
        <v>dmd_train_message</v>
      </c>
      <c r="M297" s="18" t="str">
        <f>VLOOKUP([資料表詳細]資料表詳細表格[[#This Row],[屬性類型(Postgre)]],選單!$A$3:$B$20,2,FALSE)</f>
        <v>int</v>
      </c>
      <c r="N297" s="20" t="str">
        <f>CONCATENATE(參考!B$2,[資料表詳細]資料表詳細表格[[#This Row],[欄位名稱(英)]])</f>
        <v>message_priority</v>
      </c>
    </row>
    <row r="298" spans="1:14">
      <c r="A298" s="74">
        <v>293</v>
      </c>
      <c r="B298" s="22" t="s">
        <v>133</v>
      </c>
      <c r="C298" s="33" t="s">
        <v>369</v>
      </c>
      <c r="D298" s="19">
        <v>5</v>
      </c>
      <c r="E298" s="20" t="s">
        <v>251</v>
      </c>
      <c r="F298" s="20" t="s">
        <v>261</v>
      </c>
      <c r="G298" s="20" t="s">
        <v>130</v>
      </c>
      <c r="H298" s="21"/>
      <c r="I298" s="21" t="s">
        <v>32</v>
      </c>
      <c r="J298" s="21"/>
      <c r="K298" s="20"/>
      <c r="L298" s="20" t="str">
        <f>CONCATENATE(參考!B$1,[資料表詳細]資料表詳細表格[[#This Row],[表名]])</f>
        <v>dmd_train_message</v>
      </c>
      <c r="M298" s="18" t="str">
        <f>VLOOKUP([資料表詳細]資料表詳細表格[[#This Row],[屬性類型(Postgre)]],選單!$A$3:$B$20,2,FALSE)</f>
        <v>int</v>
      </c>
      <c r="N298" s="20" t="str">
        <f>CONCATENATE(參考!B$2,[資料表詳細]資料表詳細表格[[#This Row],[欄位名稱(英)]])</f>
        <v>move_mode</v>
      </c>
    </row>
    <row r="299" spans="1:14">
      <c r="A299" s="74">
        <v>294</v>
      </c>
      <c r="B299" s="22" t="s">
        <v>133</v>
      </c>
      <c r="C299" s="33" t="s">
        <v>369</v>
      </c>
      <c r="D299" s="19">
        <v>6</v>
      </c>
      <c r="E299" s="20" t="s">
        <v>252</v>
      </c>
      <c r="F299" s="20" t="s">
        <v>262</v>
      </c>
      <c r="G299" s="20" t="s">
        <v>130</v>
      </c>
      <c r="H299" s="21"/>
      <c r="I299" s="21" t="s">
        <v>32</v>
      </c>
      <c r="J299" s="21"/>
      <c r="K299" s="20" t="s">
        <v>278</v>
      </c>
      <c r="L299" s="20" t="str">
        <f>CONCATENATE(參考!B$1,[資料表詳細]資料表詳細表格[[#This Row],[表名]])</f>
        <v>dmd_train_message</v>
      </c>
      <c r="M299" s="18" t="str">
        <f>VLOOKUP([資料表詳細]資料表詳細表格[[#This Row],[屬性類型(Postgre)]],選單!$A$3:$B$20,2,FALSE)</f>
        <v>int</v>
      </c>
      <c r="N299" s="20" t="str">
        <f>CONCATENATE(參考!B$2,[資料表詳細]資料表詳細表格[[#This Row],[欄位名稱(英)]])</f>
        <v>move_speed</v>
      </c>
    </row>
    <row r="300" spans="1:14">
      <c r="A300" s="74">
        <v>295</v>
      </c>
      <c r="B300" s="22" t="s">
        <v>133</v>
      </c>
      <c r="C300" s="33" t="s">
        <v>369</v>
      </c>
      <c r="D300" s="19">
        <v>7</v>
      </c>
      <c r="E300" s="20" t="s">
        <v>372</v>
      </c>
      <c r="F300" s="20" t="s">
        <v>374</v>
      </c>
      <c r="G300" s="20" t="s">
        <v>130</v>
      </c>
      <c r="H300" s="21"/>
      <c r="I300" s="21" t="s">
        <v>32</v>
      </c>
      <c r="J300" s="21"/>
      <c r="K300" s="20"/>
      <c r="L300" s="20" t="str">
        <f>CONCATENATE(參考!B$1,[資料表詳細]資料表詳細表格[[#This Row],[表名]])</f>
        <v>dmd_train_message</v>
      </c>
      <c r="M300" s="18" t="str">
        <f>VLOOKUP([資料表詳細]資料表詳細表格[[#This Row],[屬性類型(Postgre)]],選單!$A$3:$B$20,2,FALSE)</f>
        <v>int</v>
      </c>
      <c r="N300" s="20" t="str">
        <f>CONCATENATE(參考!B$2,[資料表詳細]資料表詳細表格[[#This Row],[欄位名稱(英)]])</f>
        <v>display_times</v>
      </c>
    </row>
    <row r="301" spans="1:14">
      <c r="A301" s="74">
        <v>296</v>
      </c>
      <c r="B301" s="22" t="s">
        <v>133</v>
      </c>
      <c r="C301" s="33" t="s">
        <v>369</v>
      </c>
      <c r="D301" s="19">
        <v>8</v>
      </c>
      <c r="E301" s="20" t="s">
        <v>373</v>
      </c>
      <c r="F301" s="20" t="s">
        <v>376</v>
      </c>
      <c r="G301" s="20" t="s">
        <v>130</v>
      </c>
      <c r="H301" s="21"/>
      <c r="I301" s="21" t="s">
        <v>34</v>
      </c>
      <c r="J301" s="21"/>
      <c r="K301" s="20"/>
      <c r="L301" s="20" t="str">
        <f>CONCATENATE(參考!B$1,[資料表詳細]資料表詳細表格[[#This Row],[表名]])</f>
        <v>dmd_train_message</v>
      </c>
      <c r="M301" s="18" t="str">
        <f>VLOOKUP([資料表詳細]資料表詳細表格[[#This Row],[屬性類型(Postgre)]],選單!$A$3:$B$20,2,FALSE)</f>
        <v>int</v>
      </c>
      <c r="N301" s="20" t="str">
        <f>CONCATENATE(參考!B$2,[資料表詳細]資料表詳細表格[[#This Row],[欄位名稱(英)]])</f>
        <v>countdown_display_Interval</v>
      </c>
    </row>
    <row r="302" spans="1:14">
      <c r="A302" s="74">
        <v>297</v>
      </c>
      <c r="B302" s="22" t="s">
        <v>133</v>
      </c>
      <c r="C302" s="33" t="s">
        <v>369</v>
      </c>
      <c r="D302" s="19">
        <v>9</v>
      </c>
      <c r="E302" s="20" t="s">
        <v>247</v>
      </c>
      <c r="F302" s="20" t="s">
        <v>268</v>
      </c>
      <c r="G302" s="20" t="s">
        <v>41</v>
      </c>
      <c r="H302" s="21">
        <v>256</v>
      </c>
      <c r="I302" s="21" t="s">
        <v>32</v>
      </c>
      <c r="J302" s="21"/>
      <c r="K302" s="20"/>
      <c r="L302" s="20" t="str">
        <f>CONCATENATE(參考!B$1,[資料表詳細]資料表詳細表格[[#This Row],[表名]])</f>
        <v>dmd_train_message</v>
      </c>
      <c r="M302" s="18" t="str">
        <f>VLOOKUP([資料表詳細]資料表詳細表格[[#This Row],[屬性類型(Postgre)]],選單!$A$3:$B$20,2,FALSE)</f>
        <v>string</v>
      </c>
      <c r="N302" s="20" t="str">
        <f>CONCATENATE(參考!B$2,[資料表詳細]資料表詳細表格[[#This Row],[欄位名稱(英)]])</f>
        <v>message_content</v>
      </c>
    </row>
    <row r="303" spans="1:14">
      <c r="A303" s="74">
        <v>298</v>
      </c>
      <c r="B303" s="22" t="s">
        <v>133</v>
      </c>
      <c r="C303" s="33" t="s">
        <v>369</v>
      </c>
      <c r="D303" s="19">
        <v>10</v>
      </c>
      <c r="E303" s="20" t="s">
        <v>254</v>
      </c>
      <c r="F303" s="20" t="s">
        <v>264</v>
      </c>
      <c r="G303" s="20" t="s">
        <v>41</v>
      </c>
      <c r="H303" s="21">
        <v>20</v>
      </c>
      <c r="I303" s="21" t="s">
        <v>32</v>
      </c>
      <c r="J303" s="21"/>
      <c r="K303" s="20" t="s">
        <v>276</v>
      </c>
      <c r="L303" s="20" t="str">
        <f>CONCATENATE(參考!B$1,[資料表詳細]資料表詳細表格[[#This Row],[表名]])</f>
        <v>dmd_train_message</v>
      </c>
      <c r="M303" s="18" t="str">
        <f>VLOOKUP([資料表詳細]資料表詳細表格[[#This Row],[屬性類型(Postgre)]],選單!$A$3:$B$20,2,FALSE)</f>
        <v>string</v>
      </c>
      <c r="N303" s="20" t="str">
        <f>CONCATENATE(參考!B$2,[資料表詳細]資料表詳細表格[[#This Row],[欄位名稱(英)]])</f>
        <v>font_type</v>
      </c>
    </row>
    <row r="304" spans="1:14">
      <c r="A304" s="74">
        <v>299</v>
      </c>
      <c r="B304" s="22" t="s">
        <v>133</v>
      </c>
      <c r="C304" s="33" t="s">
        <v>369</v>
      </c>
      <c r="D304" s="19">
        <v>11</v>
      </c>
      <c r="E304" s="20" t="s">
        <v>248</v>
      </c>
      <c r="F304" s="20" t="s">
        <v>265</v>
      </c>
      <c r="G304" s="20" t="s">
        <v>130</v>
      </c>
      <c r="H304" s="21"/>
      <c r="I304" s="21" t="s">
        <v>32</v>
      </c>
      <c r="J304" s="21"/>
      <c r="K304" s="20" t="s">
        <v>274</v>
      </c>
      <c r="L304" s="20" t="str">
        <f>CONCATENATE(參考!B$1,[資料表詳細]資料表詳細表格[[#This Row],[表名]])</f>
        <v>dmd_train_message</v>
      </c>
      <c r="M304" s="18" t="str">
        <f>VLOOKUP([資料表詳細]資料表詳細表格[[#This Row],[屬性類型(Postgre)]],選單!$A$3:$B$20,2,FALSE)</f>
        <v>int</v>
      </c>
      <c r="N304" s="20" t="str">
        <f>CONCATENATE(參考!B$2,[資料表詳細]資料表詳細表格[[#This Row],[欄位名稱(英)]])</f>
        <v>font_size</v>
      </c>
    </row>
    <row r="305" spans="1:14">
      <c r="A305" s="74">
        <v>300</v>
      </c>
      <c r="B305" s="22" t="s">
        <v>133</v>
      </c>
      <c r="C305" s="33" t="s">
        <v>369</v>
      </c>
      <c r="D305" s="19">
        <v>12</v>
      </c>
      <c r="E305" s="20" t="s">
        <v>255</v>
      </c>
      <c r="F305" s="20" t="s">
        <v>266</v>
      </c>
      <c r="G305" s="20" t="s">
        <v>41</v>
      </c>
      <c r="H305" s="21">
        <v>10</v>
      </c>
      <c r="I305" s="21" t="s">
        <v>32</v>
      </c>
      <c r="J305" s="21"/>
      <c r="K305" s="20" t="s">
        <v>275</v>
      </c>
      <c r="L305" s="20" t="str">
        <f>CONCATENATE(參考!B$1,[資料表詳細]資料表詳細表格[[#This Row],[表名]])</f>
        <v>dmd_train_message</v>
      </c>
      <c r="M305" s="18" t="str">
        <f>VLOOKUP([資料表詳細]資料表詳細表格[[#This Row],[屬性類型(Postgre)]],選單!$A$3:$B$20,2,FALSE)</f>
        <v>string</v>
      </c>
      <c r="N305" s="20" t="str">
        <f>CONCATENATE(參考!B$2,[資料表詳細]資料表詳細表格[[#This Row],[欄位名稱(英)]])</f>
        <v>font_color</v>
      </c>
    </row>
    <row r="306" spans="1:14">
      <c r="A306" s="74">
        <v>301</v>
      </c>
      <c r="B306" s="22" t="s">
        <v>133</v>
      </c>
      <c r="C306" s="33" t="s">
        <v>369</v>
      </c>
      <c r="D306" s="19">
        <v>13</v>
      </c>
      <c r="E306" s="20" t="s">
        <v>249</v>
      </c>
      <c r="F306" s="20" t="s">
        <v>267</v>
      </c>
      <c r="G306" s="20" t="s">
        <v>41</v>
      </c>
      <c r="H306" s="21">
        <v>256</v>
      </c>
      <c r="I306" s="21" t="s">
        <v>32</v>
      </c>
      <c r="J306" s="21"/>
      <c r="K306" s="20"/>
      <c r="L306" s="20" t="str">
        <f>CONCATENATE(參考!B$1,[資料表詳細]資料表詳細表格[[#This Row],[表名]])</f>
        <v>dmd_train_message</v>
      </c>
      <c r="M306" s="18" t="str">
        <f>VLOOKUP([資料表詳細]資料表詳細表格[[#This Row],[屬性類型(Postgre)]],選單!$A$3:$B$20,2,FALSE)</f>
        <v>string</v>
      </c>
      <c r="N306" s="20" t="str">
        <f>CONCATENATE(參考!B$2,[資料表詳細]資料表詳細表格[[#This Row],[欄位名稱(英)]])</f>
        <v>message_content_en</v>
      </c>
    </row>
    <row r="307" spans="1:14">
      <c r="A307" s="74">
        <v>302</v>
      </c>
      <c r="B307" s="22" t="s">
        <v>133</v>
      </c>
      <c r="C307" s="33" t="s">
        <v>369</v>
      </c>
      <c r="D307" s="19">
        <v>14</v>
      </c>
      <c r="E307" s="20" t="s">
        <v>273</v>
      </c>
      <c r="F307" s="20" t="s">
        <v>269</v>
      </c>
      <c r="G307" s="20" t="s">
        <v>41</v>
      </c>
      <c r="H307" s="21">
        <v>20</v>
      </c>
      <c r="I307" s="21" t="s">
        <v>32</v>
      </c>
      <c r="J307" s="21"/>
      <c r="K307" s="20" t="s">
        <v>277</v>
      </c>
      <c r="L307" s="20" t="str">
        <f>CONCATENATE(參考!B$1,[資料表詳細]資料表詳細表格[[#This Row],[表名]])</f>
        <v>dmd_train_message</v>
      </c>
      <c r="M307" s="18" t="str">
        <f>VLOOKUP([資料表詳細]資料表詳細表格[[#This Row],[屬性類型(Postgre)]],選單!$A$3:$B$20,2,FALSE)</f>
        <v>string</v>
      </c>
      <c r="N307" s="20" t="str">
        <f>CONCATENATE(參考!B$2,[資料表詳細]資料表詳細表格[[#This Row],[欄位名稱(英)]])</f>
        <v>font_type_en</v>
      </c>
    </row>
    <row r="308" spans="1:14">
      <c r="A308" s="74">
        <v>303</v>
      </c>
      <c r="B308" s="22" t="s">
        <v>133</v>
      </c>
      <c r="C308" s="33" t="s">
        <v>369</v>
      </c>
      <c r="D308" s="19">
        <v>15</v>
      </c>
      <c r="E308" s="20" t="s">
        <v>250</v>
      </c>
      <c r="F308" s="20" t="s">
        <v>270</v>
      </c>
      <c r="G308" s="20" t="s">
        <v>130</v>
      </c>
      <c r="H308" s="21"/>
      <c r="I308" s="21" t="s">
        <v>32</v>
      </c>
      <c r="J308" s="21"/>
      <c r="K308" s="20" t="s">
        <v>274</v>
      </c>
      <c r="L308" s="20" t="str">
        <f>CONCATENATE(參考!B$1,[資料表詳細]資料表詳細表格[[#This Row],[表名]])</f>
        <v>dmd_train_message</v>
      </c>
      <c r="M308" s="18" t="str">
        <f>VLOOKUP([資料表詳細]資料表詳細表格[[#This Row],[屬性類型(Postgre)]],選單!$A$3:$B$20,2,FALSE)</f>
        <v>int</v>
      </c>
      <c r="N308" s="20" t="str">
        <f>CONCATENATE(參考!B$2,[資料表詳細]資料表詳細表格[[#This Row],[欄位名稱(英)]])</f>
        <v>font_size_en</v>
      </c>
    </row>
    <row r="309" spans="1:14">
      <c r="A309" s="74">
        <v>304</v>
      </c>
      <c r="B309" s="22" t="s">
        <v>133</v>
      </c>
      <c r="C309" s="33" t="s">
        <v>369</v>
      </c>
      <c r="D309" s="19">
        <v>16</v>
      </c>
      <c r="E309" s="20" t="s">
        <v>256</v>
      </c>
      <c r="F309" s="20" t="s">
        <v>271</v>
      </c>
      <c r="G309" s="20" t="s">
        <v>41</v>
      </c>
      <c r="H309" s="21">
        <v>10</v>
      </c>
      <c r="I309" s="21" t="s">
        <v>32</v>
      </c>
      <c r="J309" s="21"/>
      <c r="K309" s="20" t="s">
        <v>275</v>
      </c>
      <c r="L309" s="20" t="str">
        <f>CONCATENATE(參考!B$1,[資料表詳細]資料表詳細表格[[#This Row],[表名]])</f>
        <v>dmd_train_message</v>
      </c>
      <c r="M309" s="18" t="str">
        <f>VLOOKUP([資料表詳細]資料表詳細表格[[#This Row],[屬性類型(Postgre)]],選單!$A$3:$B$20,2,FALSE)</f>
        <v>string</v>
      </c>
      <c r="N309" s="20" t="str">
        <f>CONCATENATE(參考!B$2,[資料表詳細]資料表詳細表格[[#This Row],[欄位名稱(英)]])</f>
        <v>font_color_en</v>
      </c>
    </row>
    <row r="310" spans="1:14">
      <c r="A310" s="74">
        <v>305</v>
      </c>
      <c r="B310" s="22" t="s">
        <v>133</v>
      </c>
      <c r="C310" s="33" t="s">
        <v>369</v>
      </c>
      <c r="D310" s="19">
        <v>17</v>
      </c>
      <c r="E310" s="20" t="s">
        <v>1</v>
      </c>
      <c r="F310" s="20" t="s">
        <v>2</v>
      </c>
      <c r="G310" s="20" t="s">
        <v>41</v>
      </c>
      <c r="H310" s="21">
        <v>20</v>
      </c>
      <c r="I310" s="21" t="s">
        <v>32</v>
      </c>
      <c r="J310" s="21"/>
      <c r="K310" s="20"/>
      <c r="L310" s="20" t="str">
        <f>CONCATENATE(參考!B$1,[資料表詳細]資料表詳細表格[[#This Row],[表名]])</f>
        <v>dmd_train_message</v>
      </c>
      <c r="M310" s="18" t="str">
        <f>VLOOKUP([資料表詳細]資料表詳細表格[[#This Row],[屬性類型(Postgre)]],選單!$A$3:$B$20,2,FALSE)</f>
        <v>string</v>
      </c>
      <c r="N310" s="20" t="str">
        <f>CONCATENATE(參考!B$2,[資料表詳細]資料表詳細表格[[#This Row],[欄位名稱(英)]])</f>
        <v>ins_user</v>
      </c>
    </row>
    <row r="311" spans="1:14">
      <c r="A311" s="74">
        <v>306</v>
      </c>
      <c r="B311" s="22" t="s">
        <v>133</v>
      </c>
      <c r="C311" s="33" t="s">
        <v>369</v>
      </c>
      <c r="D311" s="19">
        <v>18</v>
      </c>
      <c r="E311" s="20" t="s">
        <v>3</v>
      </c>
      <c r="F311" s="20" t="s">
        <v>4</v>
      </c>
      <c r="G311" s="20" t="s">
        <v>77</v>
      </c>
      <c r="H311" s="21"/>
      <c r="I311" s="21" t="s">
        <v>32</v>
      </c>
      <c r="J311" s="21"/>
      <c r="K311" s="20"/>
      <c r="L311" s="20" t="str">
        <f>CONCATENATE(參考!B$1,[資料表詳細]資料表詳細表格[[#This Row],[表名]])</f>
        <v>dmd_train_message</v>
      </c>
      <c r="M311" s="18" t="str">
        <f>VLOOKUP([資料表詳細]資料表詳細表格[[#This Row],[屬性類型(Postgre)]],選單!$A$3:$B$20,2,FALSE)</f>
        <v>DateTime</v>
      </c>
      <c r="N311" s="20" t="str">
        <f>CONCATENATE(參考!B$2,[資料表詳細]資料表詳細表格[[#This Row],[欄位名稱(英)]])</f>
        <v>ins_time</v>
      </c>
    </row>
    <row r="312" spans="1:14">
      <c r="A312" s="74">
        <v>307</v>
      </c>
      <c r="B312" s="22" t="s">
        <v>133</v>
      </c>
      <c r="C312" s="33" t="s">
        <v>369</v>
      </c>
      <c r="D312" s="19">
        <v>19</v>
      </c>
      <c r="E312" s="20" t="s">
        <v>6</v>
      </c>
      <c r="F312" s="20" t="s">
        <v>7</v>
      </c>
      <c r="G312" s="20" t="s">
        <v>41</v>
      </c>
      <c r="H312" s="21">
        <v>20</v>
      </c>
      <c r="I312" s="21" t="s">
        <v>32</v>
      </c>
      <c r="J312" s="21"/>
      <c r="K312" s="20"/>
      <c r="L312" s="20" t="str">
        <f>CONCATENATE(參考!B$1,[資料表詳細]資料表詳細表格[[#This Row],[表名]])</f>
        <v>dmd_train_message</v>
      </c>
      <c r="M312" s="18" t="str">
        <f>VLOOKUP([資料表詳細]資料表詳細表格[[#This Row],[屬性類型(Postgre)]],選單!$A$3:$B$20,2,FALSE)</f>
        <v>string</v>
      </c>
      <c r="N312" s="20" t="str">
        <f>CONCATENATE(參考!B$2,[資料表詳細]資料表詳細表格[[#This Row],[欄位名稱(英)]])</f>
        <v>upd_user</v>
      </c>
    </row>
    <row r="313" spans="1:14">
      <c r="A313" s="74">
        <v>308</v>
      </c>
      <c r="B313" s="22" t="s">
        <v>133</v>
      </c>
      <c r="C313" s="33" t="s">
        <v>369</v>
      </c>
      <c r="D313" s="19">
        <v>20</v>
      </c>
      <c r="E313" s="20" t="s">
        <v>8</v>
      </c>
      <c r="F313" s="20" t="s">
        <v>9</v>
      </c>
      <c r="G313" s="20" t="s">
        <v>77</v>
      </c>
      <c r="H313" s="21"/>
      <c r="I313" s="21" t="s">
        <v>32</v>
      </c>
      <c r="J313" s="21"/>
      <c r="K313" s="20"/>
      <c r="L313" s="20" t="str">
        <f>CONCATENATE(參考!B$1,[資料表詳細]資料表詳細表格[[#This Row],[表名]])</f>
        <v>dmd_train_message</v>
      </c>
      <c r="M313" s="18" t="str">
        <f>VLOOKUP([資料表詳細]資料表詳細表格[[#This Row],[屬性類型(Postgre)]],選單!$A$3:$B$20,2,FALSE)</f>
        <v>DateTime</v>
      </c>
      <c r="N313" s="20" t="str">
        <f>CONCATENATE(參考!B$2,[資料表詳細]資料表詳細表格[[#This Row],[欄位名稱(英)]])</f>
        <v>upd_time</v>
      </c>
    </row>
    <row r="314" spans="1:14">
      <c r="A314" s="74">
        <v>309</v>
      </c>
      <c r="B314" s="22" t="s">
        <v>133</v>
      </c>
      <c r="C314" s="18" t="s">
        <v>287</v>
      </c>
      <c r="D314" s="19">
        <v>1</v>
      </c>
      <c r="E314" s="20" t="s">
        <v>1011</v>
      </c>
      <c r="F314" s="20" t="s">
        <v>1012</v>
      </c>
      <c r="G314" s="20" t="s">
        <v>71</v>
      </c>
      <c r="H314" s="21"/>
      <c r="I314" s="21" t="s">
        <v>32</v>
      </c>
      <c r="J314" s="21" t="s">
        <v>26</v>
      </c>
      <c r="K314" s="20"/>
      <c r="L314" s="20" t="str">
        <f>CONCATENATE(參考!B$1,[資料表詳細]資料表詳細表格[[#This Row],[表名]])</f>
        <v>dmd_playlist</v>
      </c>
      <c r="M314" s="18" t="str">
        <f>VLOOKUP([資料表詳細]資料表詳細表格[[#This Row],[屬性類型(Postgre)]],選單!$A$3:$B$20,2,FALSE)</f>
        <v>Guid</v>
      </c>
      <c r="N314" s="20" t="str">
        <f>CONCATENATE(參考!B$2,[資料表詳細]資料表詳細表格[[#This Row],[欄位名稱(英)]])</f>
        <v>playlist_id</v>
      </c>
    </row>
    <row r="315" spans="1:14">
      <c r="A315" s="74">
        <v>310</v>
      </c>
      <c r="B315" s="22" t="s">
        <v>133</v>
      </c>
      <c r="C315" s="33" t="s">
        <v>287</v>
      </c>
      <c r="D315" s="19">
        <v>2</v>
      </c>
      <c r="E315" s="20" t="s">
        <v>118</v>
      </c>
      <c r="F315" s="20" t="s">
        <v>227</v>
      </c>
      <c r="G315" s="20" t="s">
        <v>0</v>
      </c>
      <c r="H315" s="21">
        <v>10</v>
      </c>
      <c r="I315" s="21" t="s">
        <v>32</v>
      </c>
      <c r="J315" s="21"/>
      <c r="K315" s="20"/>
      <c r="L315" s="20" t="str">
        <f>CONCATENATE(參考!B$1,[資料表詳細]資料表詳細表格[[#This Row],[表名]])</f>
        <v>dmd_playlist</v>
      </c>
      <c r="M315" s="18" t="str">
        <f>VLOOKUP([資料表詳細]資料表詳細表格[[#This Row],[屬性類型(Postgre)]],選單!$A$3:$B$20,2,FALSE)</f>
        <v>string</v>
      </c>
      <c r="N315" s="20" t="str">
        <f>CONCATENATE(參考!B$2,[資料表詳細]資料表詳細表格[[#This Row],[欄位名稱(英)]])</f>
        <v>station_id</v>
      </c>
    </row>
    <row r="316" spans="1:14">
      <c r="A316" s="74">
        <v>311</v>
      </c>
      <c r="B316" s="22" t="s">
        <v>133</v>
      </c>
      <c r="C316" s="33" t="s">
        <v>287</v>
      </c>
      <c r="D316" s="19">
        <v>3</v>
      </c>
      <c r="E316" s="20" t="s">
        <v>221</v>
      </c>
      <c r="F316" s="20" t="s">
        <v>229</v>
      </c>
      <c r="G316" s="20" t="s">
        <v>41</v>
      </c>
      <c r="H316" s="21">
        <v>10</v>
      </c>
      <c r="I316" s="21" t="s">
        <v>32</v>
      </c>
      <c r="J316" s="21"/>
      <c r="K316" s="20"/>
      <c r="L316" s="20" t="str">
        <f>CONCATENATE(參考!B$1,[資料表詳細]資料表詳細表格[[#This Row],[表名]])</f>
        <v>dmd_playlist</v>
      </c>
      <c r="M316" s="18" t="str">
        <f>VLOOKUP([資料表詳細]資料表詳細表格[[#This Row],[屬性類型(Postgre)]],選單!$A$3:$B$20,2,FALSE)</f>
        <v>string</v>
      </c>
      <c r="N316" s="20" t="str">
        <f>CONCATENATE(參考!B$2,[資料表詳細]資料表詳細表格[[#This Row],[欄位名稱(英)]])</f>
        <v>area_id</v>
      </c>
    </row>
    <row r="317" spans="1:14">
      <c r="A317" s="74">
        <v>312</v>
      </c>
      <c r="B317" s="22" t="s">
        <v>133</v>
      </c>
      <c r="C317" s="33" t="s">
        <v>287</v>
      </c>
      <c r="D317" s="19">
        <v>4</v>
      </c>
      <c r="E317" s="20" t="s">
        <v>126</v>
      </c>
      <c r="F317" s="20" t="s">
        <v>173</v>
      </c>
      <c r="G317" s="20" t="s">
        <v>0</v>
      </c>
      <c r="H317" s="21">
        <v>10</v>
      </c>
      <c r="I317" s="21" t="s">
        <v>32</v>
      </c>
      <c r="J317" s="21"/>
      <c r="K317" s="20"/>
      <c r="L317" s="20" t="str">
        <f>CONCATENATE(參考!B$1,[資料表詳細]資料表詳細表格[[#This Row],[表名]])</f>
        <v>dmd_playlist</v>
      </c>
      <c r="M317" s="18" t="str">
        <f>VLOOKUP([資料表詳細]資料表詳細表格[[#This Row],[屬性類型(Postgre)]],選單!$A$3:$B$20,2,FALSE)</f>
        <v>string</v>
      </c>
      <c r="N317" s="20" t="str">
        <f>CONCATENATE(參考!B$2,[資料表詳細]資料表詳細表格[[#This Row],[欄位名稱(英)]])</f>
        <v>device_id</v>
      </c>
    </row>
    <row r="318" spans="1:14">
      <c r="A318" s="74">
        <v>313</v>
      </c>
      <c r="B318" s="22" t="s">
        <v>133</v>
      </c>
      <c r="C318" s="33" t="s">
        <v>287</v>
      </c>
      <c r="D318" s="19">
        <v>5</v>
      </c>
      <c r="E318" s="20" t="s">
        <v>244</v>
      </c>
      <c r="F318" s="20" t="s">
        <v>257</v>
      </c>
      <c r="G318" s="20" t="s">
        <v>71</v>
      </c>
      <c r="H318" s="21"/>
      <c r="I318" s="21" t="s">
        <v>32</v>
      </c>
      <c r="J318" s="21"/>
      <c r="K318" s="20"/>
      <c r="L318" s="20" t="str">
        <f>CONCATENATE(參考!B$1,[資料表詳細]資料表詳細表格[[#This Row],[表名]])</f>
        <v>dmd_playlist</v>
      </c>
      <c r="M318" s="18" t="str">
        <f>VLOOKUP([資料表詳細]資料表詳細表格[[#This Row],[屬性類型(Postgre)]],選單!$A$3:$B$20,2,FALSE)</f>
        <v>Guid</v>
      </c>
      <c r="N318" s="20" t="str">
        <f>CONCATENATE(參考!B$2,[資料表詳細]資料表詳細表格[[#This Row],[欄位名稱(英)]])</f>
        <v>message_id</v>
      </c>
    </row>
    <row r="319" spans="1:14">
      <c r="A319" s="74">
        <v>314</v>
      </c>
      <c r="B319" s="22" t="s">
        <v>133</v>
      </c>
      <c r="C319" s="33" t="s">
        <v>287</v>
      </c>
      <c r="D319" s="19">
        <v>6</v>
      </c>
      <c r="E319" s="20" t="s">
        <v>1091</v>
      </c>
      <c r="F319" s="20" t="s">
        <v>1092</v>
      </c>
      <c r="G319" s="20" t="s">
        <v>1094</v>
      </c>
      <c r="H319" s="21"/>
      <c r="I319" s="21" t="s">
        <v>32</v>
      </c>
      <c r="J319" s="21"/>
      <c r="K319" s="142" t="s">
        <v>1093</v>
      </c>
      <c r="L319" s="20" t="str">
        <f>CONCATENATE(參考!B$1,[資料表詳細]資料表詳細表格[[#This Row],[表名]])</f>
        <v>dmd_playlist</v>
      </c>
      <c r="M319" s="18" t="str">
        <f>VLOOKUP([資料表詳細]資料表詳細表格[[#This Row],[屬性類型(Postgre)]],選單!$A$3:$B$20,2,FALSE)</f>
        <v>int</v>
      </c>
      <c r="N319" s="20" t="str">
        <f>CONCATENATE(參考!B$2,[資料表詳細]資料表詳細表格[[#This Row],[欄位名稱(英)]])</f>
        <v>message_type</v>
      </c>
    </row>
    <row r="320" spans="1:14">
      <c r="A320" s="74">
        <v>315</v>
      </c>
      <c r="B320" s="22" t="s">
        <v>133</v>
      </c>
      <c r="C320" s="33" t="s">
        <v>287</v>
      </c>
      <c r="D320" s="19">
        <v>7</v>
      </c>
      <c r="E320" s="20" t="s">
        <v>1090</v>
      </c>
      <c r="F320" s="20" t="s">
        <v>292</v>
      </c>
      <c r="G320" s="20" t="s">
        <v>5</v>
      </c>
      <c r="H320" s="21"/>
      <c r="I320" s="21" t="s">
        <v>32</v>
      </c>
      <c r="J320" s="21"/>
      <c r="K320" s="20"/>
      <c r="L320" s="20" t="str">
        <f>CONCATENATE(參考!B$1,[資料表詳細]資料表詳細表格[[#This Row],[表名]])</f>
        <v>dmd_playlist</v>
      </c>
      <c r="M320" s="18" t="str">
        <f>VLOOKUP([資料表詳細]資料表詳細表格[[#This Row],[屬性類型(Postgre)]],選單!$A$3:$B$20,2,FALSE)</f>
        <v>DateTime</v>
      </c>
      <c r="N320" s="20" t="str">
        <f>CONCATENATE(參考!B$2,[資料表詳細]資料表詳細表格[[#This Row],[欄位名稱(英)]])</f>
        <v>send_time</v>
      </c>
    </row>
    <row r="321" spans="1:14">
      <c r="A321" s="74">
        <v>316</v>
      </c>
      <c r="B321" s="22" t="s">
        <v>133</v>
      </c>
      <c r="C321" s="33" t="s">
        <v>287</v>
      </c>
      <c r="D321" s="19">
        <v>8</v>
      </c>
      <c r="E321" s="20" t="s">
        <v>1</v>
      </c>
      <c r="F321" s="20" t="s">
        <v>2</v>
      </c>
      <c r="G321" s="20" t="s">
        <v>0</v>
      </c>
      <c r="H321" s="21">
        <v>20</v>
      </c>
      <c r="I321" s="21" t="s">
        <v>32</v>
      </c>
      <c r="J321" s="21"/>
      <c r="K321" s="20"/>
      <c r="L321" s="20" t="str">
        <f>CONCATENATE(參考!B$1,[資料表詳細]資料表詳細表格[[#This Row],[表名]])</f>
        <v>dmd_playlist</v>
      </c>
      <c r="M321" s="18" t="str">
        <f>VLOOKUP([資料表詳細]資料表詳細表格[[#This Row],[屬性類型(Postgre)]],選單!$A$3:$B$20,2,FALSE)</f>
        <v>string</v>
      </c>
      <c r="N321" s="20" t="str">
        <f>CONCATENATE(參考!B$2,[資料表詳細]資料表詳細表格[[#This Row],[欄位名稱(英)]])</f>
        <v>ins_user</v>
      </c>
    </row>
    <row r="322" spans="1:14">
      <c r="A322" s="74">
        <v>317</v>
      </c>
      <c r="B322" s="22" t="s">
        <v>133</v>
      </c>
      <c r="C322" s="33" t="s">
        <v>287</v>
      </c>
      <c r="D322" s="19">
        <v>9</v>
      </c>
      <c r="E322" s="20" t="s">
        <v>3</v>
      </c>
      <c r="F322" s="20" t="s">
        <v>4</v>
      </c>
      <c r="G322" s="20" t="s">
        <v>5</v>
      </c>
      <c r="H322" s="21"/>
      <c r="I322" s="21" t="s">
        <v>32</v>
      </c>
      <c r="J322" s="21"/>
      <c r="K322" s="20"/>
      <c r="L322" s="20" t="str">
        <f>CONCATENATE(參考!B$1,[資料表詳細]資料表詳細表格[[#This Row],[表名]])</f>
        <v>dmd_playlist</v>
      </c>
      <c r="M322" s="18" t="str">
        <f>VLOOKUP([資料表詳細]資料表詳細表格[[#This Row],[屬性類型(Postgre)]],選單!$A$3:$B$20,2,FALSE)</f>
        <v>DateTime</v>
      </c>
      <c r="N322" s="20" t="str">
        <f>CONCATENATE(參考!B$2,[資料表詳細]資料表詳細表格[[#This Row],[欄位名稱(英)]])</f>
        <v>ins_time</v>
      </c>
    </row>
    <row r="323" spans="1:14">
      <c r="A323" s="74">
        <v>318</v>
      </c>
      <c r="B323" s="22" t="s">
        <v>133</v>
      </c>
      <c r="C323" s="33" t="s">
        <v>287</v>
      </c>
      <c r="D323" s="19">
        <v>10</v>
      </c>
      <c r="E323" s="20" t="s">
        <v>6</v>
      </c>
      <c r="F323" s="20" t="s">
        <v>7</v>
      </c>
      <c r="G323" s="20" t="s">
        <v>0</v>
      </c>
      <c r="H323" s="21">
        <v>20</v>
      </c>
      <c r="I323" s="21" t="s">
        <v>32</v>
      </c>
      <c r="J323" s="21"/>
      <c r="K323" s="20"/>
      <c r="L323" s="20" t="str">
        <f>CONCATENATE(參考!B$1,[資料表詳細]資料表詳細表格[[#This Row],[表名]])</f>
        <v>dmd_playlist</v>
      </c>
      <c r="M323" s="18" t="str">
        <f>VLOOKUP([資料表詳細]資料表詳細表格[[#This Row],[屬性類型(Postgre)]],選單!$A$3:$B$20,2,FALSE)</f>
        <v>string</v>
      </c>
      <c r="N323" s="20" t="str">
        <f>CONCATENATE(參考!B$2,[資料表詳細]資料表詳細表格[[#This Row],[欄位名稱(英)]])</f>
        <v>upd_user</v>
      </c>
    </row>
    <row r="324" spans="1:14">
      <c r="A324" s="74">
        <v>319</v>
      </c>
      <c r="B324" s="22" t="s">
        <v>133</v>
      </c>
      <c r="C324" s="33" t="s">
        <v>287</v>
      </c>
      <c r="D324" s="19">
        <v>11</v>
      </c>
      <c r="E324" s="20" t="s">
        <v>8</v>
      </c>
      <c r="F324" s="20" t="s">
        <v>9</v>
      </c>
      <c r="G324" s="20" t="s">
        <v>5</v>
      </c>
      <c r="H324" s="21"/>
      <c r="I324" s="21" t="s">
        <v>32</v>
      </c>
      <c r="J324" s="21"/>
      <c r="K324" s="20"/>
      <c r="L324" s="20" t="str">
        <f>CONCATENATE(參考!B$1,[資料表詳細]資料表詳細表格[[#This Row],[表名]])</f>
        <v>dmd_playlist</v>
      </c>
      <c r="M324" s="18" t="str">
        <f>VLOOKUP([資料表詳細]資料表詳細表格[[#This Row],[屬性類型(Postgre)]],選單!$A$3:$B$20,2,FALSE)</f>
        <v>DateTime</v>
      </c>
      <c r="N324" s="20" t="str">
        <f>CONCATENATE(參考!B$2,[資料表詳細]資料表詳細表格[[#This Row],[欄位名稱(英)]])</f>
        <v>upd_time</v>
      </c>
    </row>
    <row r="325" spans="1:14">
      <c r="A325" s="74">
        <v>320</v>
      </c>
      <c r="B325" s="22" t="s">
        <v>133</v>
      </c>
      <c r="C325" s="18" t="s">
        <v>293</v>
      </c>
      <c r="D325" s="19">
        <v>1</v>
      </c>
      <c r="E325" s="18" t="s">
        <v>295</v>
      </c>
      <c r="F325" s="20" t="s">
        <v>299</v>
      </c>
      <c r="G325" s="20" t="s">
        <v>71</v>
      </c>
      <c r="H325" s="21"/>
      <c r="I325" s="21" t="s">
        <v>32</v>
      </c>
      <c r="J325" s="21" t="s">
        <v>26</v>
      </c>
      <c r="K325" s="20"/>
      <c r="L325" s="20" t="str">
        <f>CONCATENATE(參考!B$1,[資料表詳細]資料表詳細表格[[#This Row],[表名]])</f>
        <v>dmd_schedule</v>
      </c>
      <c r="M325" s="18" t="str">
        <f>VLOOKUP([資料表詳細]資料表詳細表格[[#This Row],[屬性類型(Postgre)]],選單!$A$3:$B$20,2,FALSE)</f>
        <v>Guid</v>
      </c>
      <c r="N325" s="20" t="str">
        <f>CONCATENATE(參考!B$2,[資料表詳細]資料表詳細表格[[#This Row],[欄位名稱(英)]])</f>
        <v>schedule_id</v>
      </c>
    </row>
    <row r="326" spans="1:14">
      <c r="A326" s="74">
        <v>321</v>
      </c>
      <c r="B326" s="22" t="s">
        <v>133</v>
      </c>
      <c r="C326" s="33" t="s">
        <v>293</v>
      </c>
      <c r="D326" s="19">
        <v>2</v>
      </c>
      <c r="E326" s="18" t="s">
        <v>296</v>
      </c>
      <c r="F326" s="20" t="s">
        <v>300</v>
      </c>
      <c r="G326" s="20" t="s">
        <v>41</v>
      </c>
      <c r="H326" s="21">
        <v>40</v>
      </c>
      <c r="I326" s="21" t="s">
        <v>32</v>
      </c>
      <c r="J326" s="21"/>
      <c r="K326" s="20"/>
      <c r="L326" s="20" t="str">
        <f>CONCATENATE(參考!B$1,[資料表詳細]資料表詳細表格[[#This Row],[表名]])</f>
        <v>dmd_schedule</v>
      </c>
      <c r="M326" s="18" t="str">
        <f>VLOOKUP([資料表詳細]資料表詳細表格[[#This Row],[屬性類型(Postgre)]],選單!$A$3:$B$20,2,FALSE)</f>
        <v>string</v>
      </c>
      <c r="N326" s="20" t="str">
        <f>CONCATENATE(參考!B$2,[資料表詳細]資料表詳細表格[[#This Row],[欄位名稱(英)]])</f>
        <v>schedule_name</v>
      </c>
    </row>
    <row r="327" spans="1:14">
      <c r="A327" s="74">
        <v>322</v>
      </c>
      <c r="B327" s="22" t="s">
        <v>133</v>
      </c>
      <c r="C327" s="33" t="s">
        <v>293</v>
      </c>
      <c r="D327" s="19">
        <v>3</v>
      </c>
      <c r="E327" s="18" t="s">
        <v>16</v>
      </c>
      <c r="F327" s="20" t="s">
        <v>301</v>
      </c>
      <c r="G327" s="20" t="s">
        <v>100</v>
      </c>
      <c r="H327" s="21"/>
      <c r="I327" s="21" t="s">
        <v>32</v>
      </c>
      <c r="J327" s="21"/>
      <c r="K327" s="20"/>
      <c r="L327" s="20" t="str">
        <f>CONCATENATE(參考!B$1,[資料表詳細]資料表詳細表格[[#This Row],[表名]])</f>
        <v>dmd_schedule</v>
      </c>
      <c r="M327" s="18" t="str">
        <f>VLOOKUP([資料表詳細]資料表詳細表格[[#This Row],[屬性類型(Postgre)]],選單!$A$3:$B$20,2,FALSE)</f>
        <v>bool</v>
      </c>
      <c r="N327" s="20" t="str">
        <f>CONCATENATE(參考!B$2,[資料表詳細]資料表詳細表格[[#This Row],[欄位名稱(英)]])</f>
        <v>is_enable</v>
      </c>
    </row>
    <row r="328" spans="1:14">
      <c r="A328" s="74">
        <v>323</v>
      </c>
      <c r="B328" s="22" t="s">
        <v>133</v>
      </c>
      <c r="C328" s="33" t="s">
        <v>293</v>
      </c>
      <c r="D328" s="19">
        <v>4</v>
      </c>
      <c r="E328" s="18" t="s">
        <v>297</v>
      </c>
      <c r="F328" s="20" t="s">
        <v>302</v>
      </c>
      <c r="G328" s="20" t="s">
        <v>5</v>
      </c>
      <c r="H328" s="21"/>
      <c r="I328" s="21" t="s">
        <v>34</v>
      </c>
      <c r="J328" s="21"/>
      <c r="K328" s="20"/>
      <c r="L328" s="20" t="str">
        <f>CONCATENATE(參考!B$1,[資料表詳細]資料表詳細表格[[#This Row],[表名]])</f>
        <v>dmd_schedule</v>
      </c>
      <c r="M328" s="18" t="str">
        <f>VLOOKUP([資料表詳細]資料表詳細表格[[#This Row],[屬性類型(Postgre)]],選單!$A$3:$B$20,2,FALSE)</f>
        <v>DateTime</v>
      </c>
      <c r="N328" s="20" t="str">
        <f>CONCATENATE(參考!B$2,[資料表詳細]資料表詳細表格[[#This Row],[欄位名稱(英)]])</f>
        <v>start_date</v>
      </c>
    </row>
    <row r="329" spans="1:14">
      <c r="A329" s="74">
        <v>324</v>
      </c>
      <c r="B329" s="22" t="s">
        <v>133</v>
      </c>
      <c r="C329" s="33" t="s">
        <v>293</v>
      </c>
      <c r="D329" s="19">
        <v>5</v>
      </c>
      <c r="E329" s="18" t="s">
        <v>298</v>
      </c>
      <c r="F329" s="20" t="s">
        <v>303</v>
      </c>
      <c r="G329" s="20" t="s">
        <v>5</v>
      </c>
      <c r="H329" s="21"/>
      <c r="I329" s="21" t="s">
        <v>34</v>
      </c>
      <c r="J329" s="21"/>
      <c r="K329" s="20"/>
      <c r="L329" s="20" t="str">
        <f>CONCATENATE(參考!B$1,[資料表詳細]資料表詳細表格[[#This Row],[表名]])</f>
        <v>dmd_schedule</v>
      </c>
      <c r="M329" s="18" t="str">
        <f>VLOOKUP([資料表詳細]資料表詳細表格[[#This Row],[屬性類型(Postgre)]],選單!$A$3:$B$20,2,FALSE)</f>
        <v>DateTime</v>
      </c>
      <c r="N329" s="20" t="str">
        <f>CONCATENATE(參考!B$2,[資料表詳細]資料表詳細表格[[#This Row],[欄位名稱(英)]])</f>
        <v>end_date</v>
      </c>
    </row>
    <row r="330" spans="1:14">
      <c r="A330" s="74">
        <v>325</v>
      </c>
      <c r="B330" s="22" t="s">
        <v>133</v>
      </c>
      <c r="C330" s="33" t="s">
        <v>293</v>
      </c>
      <c r="D330" s="19">
        <v>6</v>
      </c>
      <c r="E330" s="18" t="s">
        <v>1</v>
      </c>
      <c r="F330" s="20" t="s">
        <v>2</v>
      </c>
      <c r="G330" s="20" t="s">
        <v>41</v>
      </c>
      <c r="H330" s="21">
        <v>20</v>
      </c>
      <c r="I330" s="21" t="s">
        <v>32</v>
      </c>
      <c r="J330" s="21"/>
      <c r="K330" s="20"/>
      <c r="L330" s="20" t="str">
        <f>CONCATENATE(參考!B$1,[資料表詳細]資料表詳細表格[[#This Row],[表名]])</f>
        <v>dmd_schedule</v>
      </c>
      <c r="M330" s="18" t="str">
        <f>VLOOKUP([資料表詳細]資料表詳細表格[[#This Row],[屬性類型(Postgre)]],選單!$A$3:$B$20,2,FALSE)</f>
        <v>string</v>
      </c>
      <c r="N330" s="20" t="str">
        <f>CONCATENATE(參考!B$2,[資料表詳細]資料表詳細表格[[#This Row],[欄位名稱(英)]])</f>
        <v>ins_user</v>
      </c>
    </row>
    <row r="331" spans="1:14">
      <c r="A331" s="74">
        <v>326</v>
      </c>
      <c r="B331" s="22" t="s">
        <v>133</v>
      </c>
      <c r="C331" s="33" t="s">
        <v>293</v>
      </c>
      <c r="D331" s="19">
        <v>7</v>
      </c>
      <c r="E331" s="18" t="s">
        <v>3</v>
      </c>
      <c r="F331" s="20" t="s">
        <v>4</v>
      </c>
      <c r="G331" s="20" t="s">
        <v>5</v>
      </c>
      <c r="H331" s="21"/>
      <c r="I331" s="21" t="s">
        <v>32</v>
      </c>
      <c r="J331" s="21"/>
      <c r="K331" s="20"/>
      <c r="L331" s="20" t="str">
        <f>CONCATENATE(參考!B$1,[資料表詳細]資料表詳細表格[[#This Row],[表名]])</f>
        <v>dmd_schedule</v>
      </c>
      <c r="M331" s="18" t="str">
        <f>VLOOKUP([資料表詳細]資料表詳細表格[[#This Row],[屬性類型(Postgre)]],選單!$A$3:$B$20,2,FALSE)</f>
        <v>DateTime</v>
      </c>
      <c r="N331" s="20" t="str">
        <f>CONCATENATE(參考!B$2,[資料表詳細]資料表詳細表格[[#This Row],[欄位名稱(英)]])</f>
        <v>ins_time</v>
      </c>
    </row>
    <row r="332" spans="1:14">
      <c r="A332" s="74">
        <v>327</v>
      </c>
      <c r="B332" s="22" t="s">
        <v>133</v>
      </c>
      <c r="C332" s="33" t="s">
        <v>293</v>
      </c>
      <c r="D332" s="19">
        <v>8</v>
      </c>
      <c r="E332" s="18" t="s">
        <v>6</v>
      </c>
      <c r="F332" s="20" t="s">
        <v>7</v>
      </c>
      <c r="G332" s="20" t="s">
        <v>41</v>
      </c>
      <c r="H332" s="21">
        <v>20</v>
      </c>
      <c r="I332" s="21" t="s">
        <v>32</v>
      </c>
      <c r="J332" s="21"/>
      <c r="K332" s="20"/>
      <c r="L332" s="20" t="str">
        <f>CONCATENATE(參考!B$1,[資料表詳細]資料表詳細表格[[#This Row],[表名]])</f>
        <v>dmd_schedule</v>
      </c>
      <c r="M332" s="18" t="str">
        <f>VLOOKUP([資料表詳細]資料表詳細表格[[#This Row],[屬性類型(Postgre)]],選單!$A$3:$B$20,2,FALSE)</f>
        <v>string</v>
      </c>
      <c r="N332" s="20" t="str">
        <f>CONCATENATE(參考!B$2,[資料表詳細]資料表詳細表格[[#This Row],[欄位名稱(英)]])</f>
        <v>upd_user</v>
      </c>
    </row>
    <row r="333" spans="1:14">
      <c r="A333" s="74">
        <v>328</v>
      </c>
      <c r="B333" s="22" t="s">
        <v>133</v>
      </c>
      <c r="C333" s="33" t="s">
        <v>293</v>
      </c>
      <c r="D333" s="19">
        <v>9</v>
      </c>
      <c r="E333" s="18" t="s">
        <v>8</v>
      </c>
      <c r="F333" s="20" t="s">
        <v>9</v>
      </c>
      <c r="G333" s="20" t="s">
        <v>77</v>
      </c>
      <c r="H333" s="21"/>
      <c r="I333" s="21" t="s">
        <v>32</v>
      </c>
      <c r="J333" s="21"/>
      <c r="K333" s="20"/>
      <c r="L333" s="20" t="str">
        <f>CONCATENATE(參考!B$1,[資料表詳細]資料表詳細表格[[#This Row],[表名]])</f>
        <v>dmd_schedule</v>
      </c>
      <c r="M333" s="18" t="str">
        <f>VLOOKUP([資料表詳細]資料表詳細表格[[#This Row],[屬性類型(Postgre)]],選單!$A$3:$B$20,2,FALSE)</f>
        <v>DateTime</v>
      </c>
      <c r="N333" s="20" t="str">
        <f>CONCATENATE(參考!B$2,[資料表詳細]資料表詳細表格[[#This Row],[欄位名稱(英)]])</f>
        <v>upd_time</v>
      </c>
    </row>
    <row r="334" spans="1:14">
      <c r="A334" s="74">
        <v>329</v>
      </c>
      <c r="B334" s="22" t="s">
        <v>133</v>
      </c>
      <c r="C334" s="18" t="s">
        <v>305</v>
      </c>
      <c r="D334" s="19">
        <v>1</v>
      </c>
      <c r="E334" s="18" t="s">
        <v>295</v>
      </c>
      <c r="F334" s="20" t="s">
        <v>299</v>
      </c>
      <c r="G334" s="20" t="s">
        <v>71</v>
      </c>
      <c r="H334" s="21"/>
      <c r="I334" s="21" t="s">
        <v>32</v>
      </c>
      <c r="J334" s="21" t="s">
        <v>26</v>
      </c>
      <c r="K334" s="20"/>
      <c r="L334" s="20" t="str">
        <f>CONCATENATE(參考!B$1,[資料表詳細]資料表詳細表格[[#This Row],[表名]])</f>
        <v>dmd_schedule_playlist</v>
      </c>
      <c r="M334" s="18" t="str">
        <f>VLOOKUP([資料表詳細]資料表詳細表格[[#This Row],[屬性類型(Postgre)]],選單!$A$3:$B$20,2,FALSE)</f>
        <v>Guid</v>
      </c>
      <c r="N334" s="20" t="str">
        <f>CONCATENATE(參考!B$2,[資料表詳細]資料表詳細表格[[#This Row],[欄位名稱(英)]])</f>
        <v>schedule_id</v>
      </c>
    </row>
    <row r="335" spans="1:14">
      <c r="A335" s="74">
        <v>330</v>
      </c>
      <c r="B335" s="22" t="s">
        <v>133</v>
      </c>
      <c r="C335" s="33" t="s">
        <v>305</v>
      </c>
      <c r="D335" s="19">
        <v>2</v>
      </c>
      <c r="E335" s="20" t="s">
        <v>308</v>
      </c>
      <c r="F335" s="20" t="s">
        <v>257</v>
      </c>
      <c r="G335" s="20" t="s">
        <v>71</v>
      </c>
      <c r="H335" s="21"/>
      <c r="I335" s="21" t="s">
        <v>32</v>
      </c>
      <c r="J335" s="21" t="s">
        <v>26</v>
      </c>
      <c r="K335" s="20"/>
      <c r="L335" s="20" t="str">
        <f>CONCATENATE(參考!B$1,[資料表詳細]資料表詳細表格[[#This Row],[表名]])</f>
        <v>dmd_schedule_playlist</v>
      </c>
      <c r="M335" s="18" t="str">
        <f>VLOOKUP([資料表詳細]資料表詳細表格[[#This Row],[屬性類型(Postgre)]],選單!$A$3:$B$20,2,FALSE)</f>
        <v>Guid</v>
      </c>
      <c r="N335" s="20" t="str">
        <f>CONCATENATE(參考!B$2,[資料表詳細]資料表詳細表格[[#This Row],[欄位名稱(英)]])</f>
        <v>message_id</v>
      </c>
    </row>
    <row r="336" spans="1:14">
      <c r="A336" s="74">
        <v>331</v>
      </c>
      <c r="B336" s="22" t="s">
        <v>133</v>
      </c>
      <c r="C336" s="33" t="s">
        <v>305</v>
      </c>
      <c r="D336" s="19">
        <v>3</v>
      </c>
      <c r="E336" s="20" t="s">
        <v>118</v>
      </c>
      <c r="F336" s="20" t="s">
        <v>216</v>
      </c>
      <c r="G336" s="20" t="s">
        <v>0</v>
      </c>
      <c r="H336" s="21">
        <v>10</v>
      </c>
      <c r="I336" s="21" t="s">
        <v>32</v>
      </c>
      <c r="J336" s="21" t="s">
        <v>26</v>
      </c>
      <c r="K336" s="20"/>
      <c r="L336" s="20" t="str">
        <f>CONCATENATE(參考!B$1,[資料表詳細]資料表詳細表格[[#This Row],[表名]])</f>
        <v>dmd_schedule_playlist</v>
      </c>
      <c r="M336" s="18" t="str">
        <f>VLOOKUP([資料表詳細]資料表詳細表格[[#This Row],[屬性類型(Postgre)]],選單!$A$3:$B$20,2,FALSE)</f>
        <v>string</v>
      </c>
      <c r="N336" s="20" t="str">
        <f>CONCATENATE(參考!B$2,[資料表詳細]資料表詳細表格[[#This Row],[欄位名稱(英)]])</f>
        <v>station_id</v>
      </c>
    </row>
    <row r="337" spans="1:14">
      <c r="A337" s="74">
        <v>332</v>
      </c>
      <c r="B337" s="22" t="s">
        <v>133</v>
      </c>
      <c r="C337" s="33" t="s">
        <v>305</v>
      </c>
      <c r="D337" s="19">
        <v>4</v>
      </c>
      <c r="E337" s="20" t="s">
        <v>126</v>
      </c>
      <c r="F337" s="20" t="s">
        <v>291</v>
      </c>
      <c r="G337" s="20" t="s">
        <v>0</v>
      </c>
      <c r="H337" s="21">
        <v>10</v>
      </c>
      <c r="I337" s="21" t="s">
        <v>32</v>
      </c>
      <c r="J337" s="21" t="s">
        <v>26</v>
      </c>
      <c r="K337" s="20"/>
      <c r="L337" s="20" t="str">
        <f>CONCATENATE(參考!B$1,[資料表詳細]資料表詳細表格[[#This Row],[表名]])</f>
        <v>dmd_schedule_playlist</v>
      </c>
      <c r="M337" s="18" t="str">
        <f>VLOOKUP([資料表詳細]資料表詳細表格[[#This Row],[屬性類型(Postgre)]],選單!$A$3:$B$20,2,FALSE)</f>
        <v>string</v>
      </c>
      <c r="N337" s="20" t="str">
        <f>CONCATENATE(參考!B$2,[資料表詳細]資料表詳細表格[[#This Row],[欄位名稱(英)]])</f>
        <v>device_id</v>
      </c>
    </row>
    <row r="338" spans="1:14">
      <c r="A338" s="74">
        <v>333</v>
      </c>
      <c r="B338" s="22" t="s">
        <v>133</v>
      </c>
      <c r="C338" s="33" t="s">
        <v>305</v>
      </c>
      <c r="D338" s="19">
        <v>5</v>
      </c>
      <c r="E338" s="20" t="s">
        <v>290</v>
      </c>
      <c r="F338" s="20" t="s">
        <v>292</v>
      </c>
      <c r="G338" s="20" t="s">
        <v>5</v>
      </c>
      <c r="H338" s="21"/>
      <c r="I338" s="21" t="s">
        <v>34</v>
      </c>
      <c r="J338" s="21"/>
      <c r="K338" s="20"/>
      <c r="L338" s="20" t="str">
        <f>CONCATENATE(參考!B$1,[資料表詳細]資料表詳細表格[[#This Row],[表名]])</f>
        <v>dmd_schedule_playlist</v>
      </c>
      <c r="M338" s="18" t="str">
        <f>VLOOKUP([資料表詳細]資料表詳細表格[[#This Row],[屬性類型(Postgre)]],選單!$A$3:$B$20,2,FALSE)</f>
        <v>DateTime</v>
      </c>
      <c r="N338" s="20" t="str">
        <f>CONCATENATE(參考!B$2,[資料表詳細]資料表詳細表格[[#This Row],[欄位名稱(英)]])</f>
        <v>sned_time</v>
      </c>
    </row>
    <row r="339" spans="1:14">
      <c r="A339" s="74">
        <v>334</v>
      </c>
      <c r="B339" s="22" t="s">
        <v>133</v>
      </c>
      <c r="C339" s="33" t="s">
        <v>305</v>
      </c>
      <c r="D339" s="19">
        <v>6</v>
      </c>
      <c r="E339" s="20" t="s">
        <v>1</v>
      </c>
      <c r="F339" s="20" t="s">
        <v>2</v>
      </c>
      <c r="G339" s="20" t="s">
        <v>0</v>
      </c>
      <c r="H339" s="21">
        <v>20</v>
      </c>
      <c r="I339" s="21" t="s">
        <v>32</v>
      </c>
      <c r="J339" s="21"/>
      <c r="K339" s="20"/>
      <c r="L339" s="20" t="str">
        <f>CONCATENATE(參考!B$1,[資料表詳細]資料表詳細表格[[#This Row],[表名]])</f>
        <v>dmd_schedule_playlist</v>
      </c>
      <c r="M339" s="18" t="str">
        <f>VLOOKUP([資料表詳細]資料表詳細表格[[#This Row],[屬性類型(Postgre)]],選單!$A$3:$B$20,2,FALSE)</f>
        <v>string</v>
      </c>
      <c r="N339" s="20" t="str">
        <f>CONCATENATE(參考!B$2,[資料表詳細]資料表詳細表格[[#This Row],[欄位名稱(英)]])</f>
        <v>ins_user</v>
      </c>
    </row>
    <row r="340" spans="1:14">
      <c r="A340" s="74">
        <v>335</v>
      </c>
      <c r="B340" s="22" t="s">
        <v>133</v>
      </c>
      <c r="C340" s="33" t="s">
        <v>305</v>
      </c>
      <c r="D340" s="19">
        <v>7</v>
      </c>
      <c r="E340" s="20" t="s">
        <v>3</v>
      </c>
      <c r="F340" s="20" t="s">
        <v>4</v>
      </c>
      <c r="G340" s="20" t="s">
        <v>5</v>
      </c>
      <c r="H340" s="21"/>
      <c r="I340" s="21" t="s">
        <v>32</v>
      </c>
      <c r="J340" s="21"/>
      <c r="K340" s="20"/>
      <c r="L340" s="20" t="str">
        <f>CONCATENATE(參考!B$1,[資料表詳細]資料表詳細表格[[#This Row],[表名]])</f>
        <v>dmd_schedule_playlist</v>
      </c>
      <c r="M340" s="18" t="str">
        <f>VLOOKUP([資料表詳細]資料表詳細表格[[#This Row],[屬性類型(Postgre)]],選單!$A$3:$B$20,2,FALSE)</f>
        <v>DateTime</v>
      </c>
      <c r="N340" s="20" t="str">
        <f>CONCATENATE(參考!B$2,[資料表詳細]資料表詳細表格[[#This Row],[欄位名稱(英)]])</f>
        <v>ins_time</v>
      </c>
    </row>
    <row r="341" spans="1:14">
      <c r="A341" s="74">
        <v>336</v>
      </c>
      <c r="B341" s="22" t="s">
        <v>133</v>
      </c>
      <c r="C341" s="33" t="s">
        <v>305</v>
      </c>
      <c r="D341" s="19">
        <v>8</v>
      </c>
      <c r="E341" s="20" t="s">
        <v>6</v>
      </c>
      <c r="F341" s="20" t="s">
        <v>7</v>
      </c>
      <c r="G341" s="20" t="s">
        <v>0</v>
      </c>
      <c r="H341" s="21">
        <v>20</v>
      </c>
      <c r="I341" s="21" t="s">
        <v>32</v>
      </c>
      <c r="J341" s="21"/>
      <c r="K341" s="20"/>
      <c r="L341" s="20" t="str">
        <f>CONCATENATE(參考!B$1,[資料表詳細]資料表詳細表格[[#This Row],[表名]])</f>
        <v>dmd_schedule_playlist</v>
      </c>
      <c r="M341" s="18" t="str">
        <f>VLOOKUP([資料表詳細]資料表詳細表格[[#This Row],[屬性類型(Postgre)]],選單!$A$3:$B$20,2,FALSE)</f>
        <v>string</v>
      </c>
      <c r="N341" s="20" t="str">
        <f>CONCATENATE(參考!B$2,[資料表詳細]資料表詳細表格[[#This Row],[欄位名稱(英)]])</f>
        <v>upd_user</v>
      </c>
    </row>
    <row r="342" spans="1:14">
      <c r="A342" s="74">
        <v>337</v>
      </c>
      <c r="B342" s="22" t="s">
        <v>133</v>
      </c>
      <c r="C342" s="33" t="s">
        <v>305</v>
      </c>
      <c r="D342" s="19">
        <v>9</v>
      </c>
      <c r="E342" s="20" t="s">
        <v>8</v>
      </c>
      <c r="F342" s="20" t="s">
        <v>9</v>
      </c>
      <c r="G342" s="20" t="s">
        <v>5</v>
      </c>
      <c r="H342" s="21"/>
      <c r="I342" s="21" t="s">
        <v>32</v>
      </c>
      <c r="J342" s="21"/>
      <c r="K342" s="20"/>
      <c r="L342" s="20" t="str">
        <f>CONCATENATE(參考!B$1,[資料表詳細]資料表詳細表格[[#This Row],[表名]])</f>
        <v>dmd_schedule_playlist</v>
      </c>
      <c r="M342" s="18" t="str">
        <f>VLOOKUP([資料表詳細]資料表詳細表格[[#This Row],[屬性類型(Postgre)]],選單!$A$3:$B$20,2,FALSE)</f>
        <v>DateTime</v>
      </c>
      <c r="N342" s="20" t="str">
        <f>CONCATENATE(參考!B$2,[資料表詳細]資料表詳細表格[[#This Row],[欄位名稱(英)]])</f>
        <v>upd_time</v>
      </c>
    </row>
    <row r="343" spans="1:14">
      <c r="A343" s="74">
        <v>338</v>
      </c>
      <c r="B343" s="22" t="s">
        <v>133</v>
      </c>
      <c r="C343" s="18" t="s">
        <v>451</v>
      </c>
      <c r="D343" s="19">
        <v>1</v>
      </c>
      <c r="E343" s="20" t="s">
        <v>118</v>
      </c>
      <c r="F343" s="20" t="s">
        <v>216</v>
      </c>
      <c r="G343" s="20" t="s">
        <v>0</v>
      </c>
      <c r="H343" s="21">
        <v>10</v>
      </c>
      <c r="I343" s="21" t="s">
        <v>32</v>
      </c>
      <c r="J343" s="21" t="s">
        <v>26</v>
      </c>
      <c r="K343" s="20"/>
      <c r="L343" s="20" t="str">
        <f>CONCATENATE(參考!B$1,[資料表詳細]資料表詳細表格[[#This Row],[表名]])</f>
        <v>dmd_power_setting</v>
      </c>
      <c r="M343" s="18" t="str">
        <f>VLOOKUP([資料表詳細]資料表詳細表格[[#This Row],[屬性類型(Postgre)]],選單!$A$3:$B$20,2,FALSE)</f>
        <v>string</v>
      </c>
      <c r="N343" s="20" t="str">
        <f>CONCATENATE(參考!B$2,[資料表詳細]資料表詳細表格[[#This Row],[欄位名稱(英)]])</f>
        <v>station_id</v>
      </c>
    </row>
    <row r="344" spans="1:14">
      <c r="A344" s="74">
        <v>339</v>
      </c>
      <c r="B344" s="22" t="s">
        <v>133</v>
      </c>
      <c r="C344" s="33" t="s">
        <v>451</v>
      </c>
      <c r="D344" s="19">
        <v>2</v>
      </c>
      <c r="E344" s="20" t="s">
        <v>454</v>
      </c>
      <c r="F344" s="20" t="s">
        <v>455</v>
      </c>
      <c r="G344" s="20" t="s">
        <v>0</v>
      </c>
      <c r="H344" s="21">
        <v>10</v>
      </c>
      <c r="I344" s="21" t="s">
        <v>32</v>
      </c>
      <c r="J344" s="21"/>
      <c r="K344" s="20" t="s">
        <v>456</v>
      </c>
      <c r="L344" s="20" t="str">
        <f>CONCATENATE(參考!B$1,[資料表詳細]資料表詳細表格[[#This Row],[表名]])</f>
        <v>dmd_power_setting</v>
      </c>
      <c r="M344" s="18" t="str">
        <f>VLOOKUP([資料表詳細]資料表詳細表格[[#This Row],[屬性類型(Postgre)]],選單!$A$3:$B$20,2,FALSE)</f>
        <v>string</v>
      </c>
      <c r="N344" s="20" t="str">
        <f>CONCATENATE(參考!B$2,[資料表詳細]資料表詳細表格[[#This Row],[欄位名稱(英)]])</f>
        <v>eco_mode</v>
      </c>
    </row>
    <row r="345" spans="1:14">
      <c r="A345" s="74">
        <v>340</v>
      </c>
      <c r="B345" s="22" t="s">
        <v>133</v>
      </c>
      <c r="C345" s="33" t="s">
        <v>451</v>
      </c>
      <c r="D345" s="19">
        <v>3</v>
      </c>
      <c r="E345" s="20" t="s">
        <v>457</v>
      </c>
      <c r="F345" s="20" t="s">
        <v>463</v>
      </c>
      <c r="G345" s="20" t="s">
        <v>130</v>
      </c>
      <c r="H345" s="21"/>
      <c r="I345" s="21" t="s">
        <v>32</v>
      </c>
      <c r="J345" s="21"/>
      <c r="K345" s="20"/>
      <c r="L345" s="20" t="str">
        <f>CONCATENATE(參考!B$1,[資料表詳細]資料表詳細表格[[#This Row],[表名]])</f>
        <v>dmd_power_setting</v>
      </c>
      <c r="M345" s="18" t="str">
        <f>VLOOKUP([資料表詳細]資料表詳細表格[[#This Row],[屬性類型(Postgre)]],選單!$A$3:$B$20,2,FALSE)</f>
        <v>int</v>
      </c>
      <c r="N345" s="20" t="str">
        <f>CONCATENATE(參考!B$2,[資料表詳細]資料表詳細表格[[#This Row],[欄位名稱(英)]])</f>
        <v>eco_time</v>
      </c>
    </row>
    <row r="346" spans="1:14">
      <c r="A346" s="74">
        <v>341</v>
      </c>
      <c r="B346" s="22" t="s">
        <v>133</v>
      </c>
      <c r="C346" s="33" t="s">
        <v>451</v>
      </c>
      <c r="D346" s="19">
        <v>4</v>
      </c>
      <c r="E346" s="20" t="s">
        <v>458</v>
      </c>
      <c r="F346" s="20" t="s">
        <v>465</v>
      </c>
      <c r="G346" s="20" t="s">
        <v>14</v>
      </c>
      <c r="H346" s="21"/>
      <c r="I346" s="21" t="s">
        <v>34</v>
      </c>
      <c r="J346" s="21"/>
      <c r="K346" s="20"/>
      <c r="L346" s="20" t="str">
        <f>CONCATENATE(參考!B$1,[資料表詳細]資料表詳細表格[[#This Row],[表名]])</f>
        <v>dmd_power_setting</v>
      </c>
      <c r="M346" s="18" t="str">
        <f>VLOOKUP([資料表詳細]資料表詳細表格[[#This Row],[屬性類型(Postgre)]],選單!$A$3:$B$20,2,FALSE)</f>
        <v>string</v>
      </c>
      <c r="N346" s="20" t="str">
        <f>CONCATENATE(參考!B$2,[資料表詳細]資料表詳細表格[[#This Row],[欄位名稱(英)]])</f>
        <v>not_eco_day</v>
      </c>
    </row>
    <row r="347" spans="1:14">
      <c r="A347" s="74">
        <v>342</v>
      </c>
      <c r="B347" s="22" t="s">
        <v>133</v>
      </c>
      <c r="C347" s="33" t="s">
        <v>451</v>
      </c>
      <c r="D347" s="19">
        <v>5</v>
      </c>
      <c r="E347" s="20" t="s">
        <v>459</v>
      </c>
      <c r="F347" s="20" t="s">
        <v>461</v>
      </c>
      <c r="G347" s="20" t="s">
        <v>0</v>
      </c>
      <c r="H347" s="21">
        <v>5</v>
      </c>
      <c r="I347" s="21" t="s">
        <v>32</v>
      </c>
      <c r="J347" s="21"/>
      <c r="K347" s="20"/>
      <c r="L347" s="20" t="str">
        <f>CONCATENATE(參考!B$1,[資料表詳細]資料表詳細表格[[#This Row],[表名]])</f>
        <v>dmd_power_setting</v>
      </c>
      <c r="M347" s="18" t="str">
        <f>VLOOKUP([資料表詳細]資料表詳細表格[[#This Row],[屬性類型(Postgre)]],選單!$A$3:$B$20,2,FALSE)</f>
        <v>string</v>
      </c>
      <c r="N347" s="20" t="str">
        <f>CONCATENATE(參考!B$2,[資料表詳細]資料表詳細表格[[#This Row],[欄位名稱(英)]])</f>
        <v>auto_play_time</v>
      </c>
    </row>
    <row r="348" spans="1:14">
      <c r="A348" s="74">
        <v>343</v>
      </c>
      <c r="B348" s="22" t="s">
        <v>133</v>
      </c>
      <c r="C348" s="33" t="s">
        <v>451</v>
      </c>
      <c r="D348" s="19">
        <v>6</v>
      </c>
      <c r="E348" s="20" t="s">
        <v>460</v>
      </c>
      <c r="F348" s="20" t="s">
        <v>462</v>
      </c>
      <c r="G348" s="20" t="s">
        <v>0</v>
      </c>
      <c r="H348" s="21">
        <v>5</v>
      </c>
      <c r="I348" s="21" t="s">
        <v>32</v>
      </c>
      <c r="J348" s="21"/>
      <c r="K348" s="20"/>
      <c r="L348" s="20" t="str">
        <f>CONCATENATE(參考!B$1,[資料表詳細]資料表詳細表格[[#This Row],[表名]])</f>
        <v>dmd_power_setting</v>
      </c>
      <c r="M348" s="18" t="str">
        <f>VLOOKUP([資料表詳細]資料表詳細表格[[#This Row],[屬性類型(Postgre)]],選單!$A$3:$B$20,2,FALSE)</f>
        <v>string</v>
      </c>
      <c r="N348" s="20" t="str">
        <f>CONCATENATE(參考!B$2,[資料表詳細]資料表詳細表格[[#This Row],[欄位名稱(英)]])</f>
        <v>auto_eco_time</v>
      </c>
    </row>
    <row r="349" spans="1:14">
      <c r="A349" s="74">
        <v>344</v>
      </c>
      <c r="B349" s="22" t="s">
        <v>133</v>
      </c>
      <c r="C349" s="33" t="s">
        <v>451</v>
      </c>
      <c r="D349" s="19">
        <v>7</v>
      </c>
      <c r="E349" s="20" t="s">
        <v>1</v>
      </c>
      <c r="F349" s="20" t="s">
        <v>2</v>
      </c>
      <c r="G349" s="20" t="s">
        <v>0</v>
      </c>
      <c r="H349" s="21">
        <v>20</v>
      </c>
      <c r="I349" s="21" t="s">
        <v>32</v>
      </c>
      <c r="J349" s="21"/>
      <c r="K349" s="20"/>
      <c r="L349" s="20" t="str">
        <f>CONCATENATE(參考!B$1,[資料表詳細]資料表詳細表格[[#This Row],[表名]])</f>
        <v>dmd_power_setting</v>
      </c>
      <c r="M349" s="18" t="str">
        <f>VLOOKUP([資料表詳細]資料表詳細表格[[#This Row],[屬性類型(Postgre)]],選單!$A$3:$B$20,2,FALSE)</f>
        <v>string</v>
      </c>
      <c r="N349" s="20" t="str">
        <f>CONCATENATE(參考!B$2,[資料表詳細]資料表詳細表格[[#This Row],[欄位名稱(英)]])</f>
        <v>ins_user</v>
      </c>
    </row>
    <row r="350" spans="1:14">
      <c r="A350" s="74">
        <v>345</v>
      </c>
      <c r="B350" s="22" t="s">
        <v>133</v>
      </c>
      <c r="C350" s="33" t="s">
        <v>451</v>
      </c>
      <c r="D350" s="19">
        <v>8</v>
      </c>
      <c r="E350" s="20" t="s">
        <v>3</v>
      </c>
      <c r="F350" s="20" t="s">
        <v>4</v>
      </c>
      <c r="G350" s="20" t="s">
        <v>5</v>
      </c>
      <c r="H350" s="21"/>
      <c r="I350" s="21" t="s">
        <v>32</v>
      </c>
      <c r="J350" s="21"/>
      <c r="K350" s="20"/>
      <c r="L350" s="20" t="str">
        <f>CONCATENATE(參考!B$1,[資料表詳細]資料表詳細表格[[#This Row],[表名]])</f>
        <v>dmd_power_setting</v>
      </c>
      <c r="M350" s="18" t="str">
        <f>VLOOKUP([資料表詳細]資料表詳細表格[[#This Row],[屬性類型(Postgre)]],選單!$A$3:$B$20,2,FALSE)</f>
        <v>DateTime</v>
      </c>
      <c r="N350" s="20" t="str">
        <f>CONCATENATE(參考!B$2,[資料表詳細]資料表詳細表格[[#This Row],[欄位名稱(英)]])</f>
        <v>ins_time</v>
      </c>
    </row>
    <row r="351" spans="1:14">
      <c r="A351" s="74">
        <v>346</v>
      </c>
      <c r="B351" s="22" t="s">
        <v>133</v>
      </c>
      <c r="C351" s="33" t="s">
        <v>451</v>
      </c>
      <c r="D351" s="19">
        <v>9</v>
      </c>
      <c r="E351" s="20" t="s">
        <v>6</v>
      </c>
      <c r="F351" s="20" t="s">
        <v>7</v>
      </c>
      <c r="G351" s="20" t="s">
        <v>0</v>
      </c>
      <c r="H351" s="21">
        <v>20</v>
      </c>
      <c r="I351" s="21" t="s">
        <v>32</v>
      </c>
      <c r="J351" s="21"/>
      <c r="K351" s="20"/>
      <c r="L351" s="20" t="str">
        <f>CONCATENATE(參考!B$1,[資料表詳細]資料表詳細表格[[#This Row],[表名]])</f>
        <v>dmd_power_setting</v>
      </c>
      <c r="M351" s="18" t="str">
        <f>VLOOKUP([資料表詳細]資料表詳細表格[[#This Row],[屬性類型(Postgre)]],選單!$A$3:$B$20,2,FALSE)</f>
        <v>string</v>
      </c>
      <c r="N351" s="20" t="str">
        <f>CONCATENATE(參考!B$2,[資料表詳細]資料表詳細表格[[#This Row],[欄位名稱(英)]])</f>
        <v>upd_user</v>
      </c>
    </row>
    <row r="352" spans="1:14">
      <c r="A352" s="74">
        <v>347</v>
      </c>
      <c r="B352" s="22" t="s">
        <v>133</v>
      </c>
      <c r="C352" s="33" t="s">
        <v>451</v>
      </c>
      <c r="D352" s="19">
        <v>10</v>
      </c>
      <c r="E352" s="20" t="s">
        <v>8</v>
      </c>
      <c r="F352" s="20" t="s">
        <v>9</v>
      </c>
      <c r="G352" s="20" t="s">
        <v>5</v>
      </c>
      <c r="H352" s="21"/>
      <c r="I352" s="21" t="s">
        <v>32</v>
      </c>
      <c r="J352" s="21"/>
      <c r="K352" s="20"/>
      <c r="L352" s="20" t="str">
        <f>CONCATENATE(參考!B$1,[資料表詳細]資料表詳細表格[[#This Row],[表名]])</f>
        <v>dmd_power_setting</v>
      </c>
      <c r="M352" s="18" t="str">
        <f>VLOOKUP([資料表詳細]資料表詳細表格[[#This Row],[屬性類型(Postgre)]],選單!$A$3:$B$20,2,FALSE)</f>
        <v>DateTime</v>
      </c>
      <c r="N352" s="20" t="str">
        <f>CONCATENATE(參考!B$2,[資料表詳細]資料表詳細表格[[#This Row],[欄位名稱(英)]])</f>
        <v>upd_time</v>
      </c>
    </row>
    <row r="353" spans="1:14">
      <c r="A353" s="74">
        <v>353</v>
      </c>
      <c r="B353" s="18" t="s">
        <v>132</v>
      </c>
      <c r="C353" s="18" t="s">
        <v>882</v>
      </c>
      <c r="D353" s="19">
        <v>1</v>
      </c>
      <c r="E353" s="20" t="s">
        <v>856</v>
      </c>
      <c r="F353" s="20" t="s">
        <v>818</v>
      </c>
      <c r="G353" s="20" t="s">
        <v>41</v>
      </c>
      <c r="H353" s="21">
        <v>20</v>
      </c>
      <c r="I353" s="21" t="s">
        <v>32</v>
      </c>
      <c r="J353" s="21" t="s">
        <v>26</v>
      </c>
      <c r="K353" s="20"/>
      <c r="L353" s="20" t="str">
        <f>CONCATENATE(參考!B$1,[資料表詳細]資料表詳細表格[[#This Row],[表名]])</f>
        <v>dlts_seat_status</v>
      </c>
      <c r="M353" s="18" t="str">
        <f>VLOOKUP([資料表詳細]資料表詳細表格[[#This Row],[屬性類型(Postgre)]],選單!$A$3:$B$20,2,FALSE)</f>
        <v>string</v>
      </c>
      <c r="N353" s="20" t="str">
        <f>CONCATENATE(參考!B$2,[資料表詳細]資料表詳細表格[[#This Row],[欄位名稱(英)]])</f>
        <v>seat_id</v>
      </c>
    </row>
    <row r="354" spans="1:14">
      <c r="A354" s="74">
        <v>354</v>
      </c>
      <c r="B354" s="33" t="s">
        <v>132</v>
      </c>
      <c r="C354" s="54" t="s">
        <v>882</v>
      </c>
      <c r="D354" s="19">
        <v>2</v>
      </c>
      <c r="E354" s="20" t="s">
        <v>857</v>
      </c>
      <c r="F354" s="20" t="s">
        <v>859</v>
      </c>
      <c r="G354" s="20" t="s">
        <v>41</v>
      </c>
      <c r="H354" s="21">
        <v>5</v>
      </c>
      <c r="I354" s="21" t="s">
        <v>32</v>
      </c>
      <c r="J354" s="21"/>
      <c r="K354" s="20"/>
      <c r="L354" s="20" t="str">
        <f>CONCATENATE(參考!B$1,[資料表詳細]資料表詳細表格[[#This Row],[表名]])</f>
        <v>dlts_seat_status</v>
      </c>
      <c r="M354" s="18" t="str">
        <f>VLOOKUP([資料表詳細]資料表詳細表格[[#This Row],[屬性類型(Postgre)]],選單!$A$3:$B$20,2,FALSE)</f>
        <v>string</v>
      </c>
      <c r="N354" s="20" t="str">
        <f>CONCATENATE(參考!B$2,[資料表詳細]資料表詳細表格[[#This Row],[欄位名稱(英)]])</f>
        <v>tel_number</v>
      </c>
    </row>
    <row r="355" spans="1:14">
      <c r="A355" s="74">
        <v>355</v>
      </c>
      <c r="B355" s="33" t="s">
        <v>132</v>
      </c>
      <c r="C355" s="54" t="s">
        <v>882</v>
      </c>
      <c r="D355" s="19">
        <v>3</v>
      </c>
      <c r="E355" s="20" t="s">
        <v>858</v>
      </c>
      <c r="F355" s="20" t="s">
        <v>860</v>
      </c>
      <c r="G355" s="20" t="s">
        <v>130</v>
      </c>
      <c r="H355" s="21"/>
      <c r="I355" s="21" t="s">
        <v>32</v>
      </c>
      <c r="J355" s="21"/>
      <c r="K355" s="20" t="s">
        <v>885</v>
      </c>
      <c r="L355" s="20" t="str">
        <f>CONCATENATE(參考!B$1,[資料表詳細]資料表詳細表格[[#This Row],[表名]])</f>
        <v>dlts_seat_status</v>
      </c>
      <c r="M355" s="18" t="str">
        <f>VLOOKUP([資料表詳細]資料表詳細表格[[#This Row],[屬性類型(Postgre)]],選單!$A$3:$B$20,2,FALSE)</f>
        <v>int</v>
      </c>
      <c r="N355" s="20" t="str">
        <f>CONCATENATE(參考!B$2,[資料表詳細]資料表詳細表格[[#This Row],[欄位名稱(英)]])</f>
        <v>cur_call_status</v>
      </c>
    </row>
    <row r="356" spans="1:14">
      <c r="A356" s="74">
        <v>356</v>
      </c>
      <c r="B356" s="33" t="s">
        <v>132</v>
      </c>
      <c r="C356" s="54" t="s">
        <v>882</v>
      </c>
      <c r="D356" s="19">
        <v>4</v>
      </c>
      <c r="E356" s="20" t="s">
        <v>1023</v>
      </c>
      <c r="F356" s="20" t="s">
        <v>891</v>
      </c>
      <c r="G356" s="20" t="s">
        <v>41</v>
      </c>
      <c r="H356" s="21">
        <v>15</v>
      </c>
      <c r="I356" s="21" t="s">
        <v>34</v>
      </c>
      <c r="J356" s="21"/>
      <c r="K356" s="20" t="s">
        <v>892</v>
      </c>
      <c r="L356" s="20" t="str">
        <f>CONCATENATE(參考!B$1,[資料表詳細]資料表詳細表格[[#This Row],[表名]])</f>
        <v>dlts_seat_status</v>
      </c>
      <c r="M356" s="18" t="str">
        <f>VLOOKUP([資料表詳細]資料表詳細表格[[#This Row],[屬性類型(Postgre)]],選單!$A$3:$B$20,2,FALSE)</f>
        <v>string</v>
      </c>
      <c r="N356" s="20" t="str">
        <f>CONCATENATE(參考!B$2,[資料表詳細]資料表詳細表格[[#This Row],[欄位名稱(英)]])</f>
        <v>cur_caller_number</v>
      </c>
    </row>
    <row r="357" spans="1:14">
      <c r="A357" s="74">
        <v>357</v>
      </c>
      <c r="B357" s="33" t="s">
        <v>132</v>
      </c>
      <c r="C357" s="54" t="s">
        <v>882</v>
      </c>
      <c r="D357" s="19">
        <v>5</v>
      </c>
      <c r="E357" s="20" t="s">
        <v>1</v>
      </c>
      <c r="F357" s="20" t="s">
        <v>2</v>
      </c>
      <c r="G357" s="20" t="s">
        <v>0</v>
      </c>
      <c r="H357" s="21">
        <v>20</v>
      </c>
      <c r="I357" s="21" t="s">
        <v>32</v>
      </c>
      <c r="J357" s="21"/>
      <c r="K357" s="20"/>
      <c r="L357" s="20" t="str">
        <f>CONCATENATE(參考!B$1,[資料表詳細]資料表詳細表格[[#This Row],[表名]])</f>
        <v>dlts_seat_status</v>
      </c>
      <c r="M357" s="18" t="str">
        <f>VLOOKUP([資料表詳細]資料表詳細表格[[#This Row],[屬性類型(Postgre)]],選單!$A$3:$B$20,2,FALSE)</f>
        <v>string</v>
      </c>
      <c r="N357" s="20" t="str">
        <f>CONCATENATE(參考!B$2,[資料表詳細]資料表詳細表格[[#This Row],[欄位名稱(英)]])</f>
        <v>ins_user</v>
      </c>
    </row>
    <row r="358" spans="1:14">
      <c r="A358" s="74">
        <v>358</v>
      </c>
      <c r="B358" s="33" t="s">
        <v>132</v>
      </c>
      <c r="C358" s="54" t="s">
        <v>882</v>
      </c>
      <c r="D358" s="19">
        <v>6</v>
      </c>
      <c r="E358" s="20" t="s">
        <v>3</v>
      </c>
      <c r="F358" s="20" t="s">
        <v>4</v>
      </c>
      <c r="G358" s="20" t="s">
        <v>5</v>
      </c>
      <c r="H358" s="21"/>
      <c r="I358" s="21" t="s">
        <v>32</v>
      </c>
      <c r="J358" s="21"/>
      <c r="K358" s="20"/>
      <c r="L358" s="20" t="str">
        <f>CONCATENATE(參考!B$1,[資料表詳細]資料表詳細表格[[#This Row],[表名]])</f>
        <v>dlts_seat_status</v>
      </c>
      <c r="M358" s="18" t="str">
        <f>VLOOKUP([資料表詳細]資料表詳細表格[[#This Row],[屬性類型(Postgre)]],選單!$A$3:$B$20,2,FALSE)</f>
        <v>DateTime</v>
      </c>
      <c r="N358" s="20" t="str">
        <f>CONCATENATE(參考!B$2,[資料表詳細]資料表詳細表格[[#This Row],[欄位名稱(英)]])</f>
        <v>ins_time</v>
      </c>
    </row>
    <row r="359" spans="1:14">
      <c r="A359" s="74">
        <v>359</v>
      </c>
      <c r="B359" s="33" t="s">
        <v>132</v>
      </c>
      <c r="C359" s="54" t="s">
        <v>882</v>
      </c>
      <c r="D359" s="19">
        <v>7</v>
      </c>
      <c r="E359" s="20" t="s">
        <v>6</v>
      </c>
      <c r="F359" s="20" t="s">
        <v>7</v>
      </c>
      <c r="G359" s="20" t="s">
        <v>0</v>
      </c>
      <c r="H359" s="21">
        <v>20</v>
      </c>
      <c r="I359" s="21" t="s">
        <v>32</v>
      </c>
      <c r="J359" s="21"/>
      <c r="K359" s="20"/>
      <c r="L359" s="20" t="str">
        <f>CONCATENATE(參考!B$1,[資料表詳細]資料表詳細表格[[#This Row],[表名]])</f>
        <v>dlts_seat_status</v>
      </c>
      <c r="M359" s="18" t="str">
        <f>VLOOKUP([資料表詳細]資料表詳細表格[[#This Row],[屬性類型(Postgre)]],選單!$A$3:$B$20,2,FALSE)</f>
        <v>string</v>
      </c>
      <c r="N359" s="20" t="str">
        <f>CONCATENATE(參考!B$2,[資料表詳細]資料表詳細表格[[#This Row],[欄位名稱(英)]])</f>
        <v>upd_user</v>
      </c>
    </row>
    <row r="360" spans="1:14">
      <c r="A360" s="74">
        <v>360</v>
      </c>
      <c r="B360" s="33" t="s">
        <v>132</v>
      </c>
      <c r="C360" s="54" t="s">
        <v>882</v>
      </c>
      <c r="D360" s="19">
        <v>8</v>
      </c>
      <c r="E360" s="20" t="s">
        <v>8</v>
      </c>
      <c r="F360" s="20" t="s">
        <v>9</v>
      </c>
      <c r="G360" s="20" t="s">
        <v>5</v>
      </c>
      <c r="H360" s="21"/>
      <c r="I360" s="21" t="s">
        <v>32</v>
      </c>
      <c r="J360" s="21"/>
      <c r="K360" s="20"/>
      <c r="L360" s="20" t="str">
        <f>CONCATENATE(參考!B$1,[資料表詳細]資料表詳細表格[[#This Row],[表名]])</f>
        <v>dlts_seat_status</v>
      </c>
      <c r="M360" s="18" t="str">
        <f>VLOOKUP([資料表詳細]資料表詳細表格[[#This Row],[屬性類型(Postgre)]],選單!$A$3:$B$20,2,FALSE)</f>
        <v>DateTime</v>
      </c>
      <c r="N360" s="20" t="str">
        <f>CONCATENATE(參考!B$2,[資料表詳細]資料表詳細表格[[#This Row],[欄位名稱(英)]])</f>
        <v>upd_time</v>
      </c>
    </row>
    <row r="361" spans="1:14">
      <c r="A361" s="74">
        <v>361</v>
      </c>
      <c r="B361" s="18" t="s">
        <v>132</v>
      </c>
      <c r="C361" s="18" t="s">
        <v>890</v>
      </c>
      <c r="D361" s="19">
        <v>1</v>
      </c>
      <c r="E361" s="20" t="s">
        <v>867</v>
      </c>
      <c r="F361" s="20" t="s">
        <v>887</v>
      </c>
      <c r="G361" s="20" t="s">
        <v>41</v>
      </c>
      <c r="H361" s="21">
        <v>5</v>
      </c>
      <c r="I361" s="21" t="s">
        <v>32</v>
      </c>
      <c r="J361" s="21" t="s">
        <v>26</v>
      </c>
      <c r="K361" s="20"/>
      <c r="L361" s="20" t="str">
        <f>CONCATENATE(參考!B$1,[資料表詳細]資料表詳細表格[[#This Row],[表名]])</f>
        <v>dlts_caller_display</v>
      </c>
      <c r="M361" s="18" t="str">
        <f>VLOOKUP([資料表詳細]資料表詳細表格[[#This Row],[屬性類型(Postgre)]],選單!$A$3:$B$20,2,FALSE)</f>
        <v>string</v>
      </c>
      <c r="N361" s="20" t="str">
        <f>CONCATENATE(參考!B$2,[資料表詳細]資料表詳細表格[[#This Row],[欄位名稱(英)]])</f>
        <v>tel_number</v>
      </c>
    </row>
    <row r="362" spans="1:14">
      <c r="A362" s="74">
        <v>362</v>
      </c>
      <c r="B362" s="33" t="s">
        <v>132</v>
      </c>
      <c r="C362" s="54" t="s">
        <v>880</v>
      </c>
      <c r="D362" s="19">
        <v>2</v>
      </c>
      <c r="E362" s="20" t="s">
        <v>1021</v>
      </c>
      <c r="F362" s="20" t="s">
        <v>888</v>
      </c>
      <c r="G362" s="20" t="s">
        <v>41</v>
      </c>
      <c r="H362" s="21">
        <v>5</v>
      </c>
      <c r="I362" s="21" t="s">
        <v>32</v>
      </c>
      <c r="J362" s="21" t="s">
        <v>26</v>
      </c>
      <c r="K362" s="20"/>
      <c r="L362" s="20" t="str">
        <f>CONCATENATE(參考!B$1,[資料表詳細]資料表詳細表格[[#This Row],[表名]])</f>
        <v>dlts_caller_display</v>
      </c>
      <c r="M362" s="18" t="str">
        <f>VLOOKUP([資料表詳細]資料表詳細表格[[#This Row],[屬性類型(Postgre)]],選單!$A$3:$B$20,2,FALSE)</f>
        <v>string</v>
      </c>
      <c r="N362" s="20" t="str">
        <f>CONCATENATE(參考!B$2,[資料表詳細]資料表詳細表格[[#This Row],[欄位名稱(英)]])</f>
        <v>cur_call_number</v>
      </c>
    </row>
    <row r="363" spans="1:14">
      <c r="A363" s="74">
        <v>363</v>
      </c>
      <c r="B363" s="33" t="s">
        <v>132</v>
      </c>
      <c r="C363" s="54" t="s">
        <v>880</v>
      </c>
      <c r="D363" s="19">
        <v>3</v>
      </c>
      <c r="E363" s="20" t="s">
        <v>868</v>
      </c>
      <c r="F363" s="20" t="s">
        <v>889</v>
      </c>
      <c r="G363" s="20" t="s">
        <v>130</v>
      </c>
      <c r="H363" s="21"/>
      <c r="I363" s="21" t="s">
        <v>32</v>
      </c>
      <c r="J363" s="21"/>
      <c r="K363" s="20"/>
      <c r="L363" s="20" t="str">
        <f>CONCATENATE(參考!B$1,[資料表詳細]資料表詳細表格[[#This Row],[表名]])</f>
        <v>dlts_caller_display</v>
      </c>
      <c r="M363" s="18" t="str">
        <f>VLOOKUP([資料表詳細]資料表詳細表格[[#This Row],[屬性類型(Postgre)]],選單!$A$3:$B$20,2,FALSE)</f>
        <v>int</v>
      </c>
      <c r="N363" s="20" t="str">
        <f>CONCATENATE(參考!B$2,[資料表詳細]資料表詳細表格[[#This Row],[欄位名稱(英)]])</f>
        <v>cur_call_status</v>
      </c>
    </row>
    <row r="364" spans="1:14">
      <c r="A364" s="74">
        <v>364</v>
      </c>
      <c r="B364" s="33" t="s">
        <v>132</v>
      </c>
      <c r="C364" s="54" t="s">
        <v>880</v>
      </c>
      <c r="D364" s="19">
        <v>4</v>
      </c>
      <c r="E364" s="20" t="s">
        <v>1</v>
      </c>
      <c r="F364" s="20" t="s">
        <v>2</v>
      </c>
      <c r="G364" s="20" t="s">
        <v>0</v>
      </c>
      <c r="H364" s="21">
        <v>20</v>
      </c>
      <c r="I364" s="21" t="s">
        <v>32</v>
      </c>
      <c r="J364" s="21"/>
      <c r="K364" s="20"/>
      <c r="L364" s="20" t="str">
        <f>CONCATENATE(參考!B$1,[資料表詳細]資料表詳細表格[[#This Row],[表名]])</f>
        <v>dlts_caller_display</v>
      </c>
      <c r="M364" s="18" t="str">
        <f>VLOOKUP([資料表詳細]資料表詳細表格[[#This Row],[屬性類型(Postgre)]],選單!$A$3:$B$20,2,FALSE)</f>
        <v>string</v>
      </c>
      <c r="N364" s="20" t="str">
        <f>CONCATENATE(參考!B$2,[資料表詳細]資料表詳細表格[[#This Row],[欄位名稱(英)]])</f>
        <v>ins_user</v>
      </c>
    </row>
    <row r="365" spans="1:14">
      <c r="A365" s="74">
        <v>365</v>
      </c>
      <c r="B365" s="33" t="s">
        <v>132</v>
      </c>
      <c r="C365" s="54" t="s">
        <v>880</v>
      </c>
      <c r="D365" s="19">
        <v>5</v>
      </c>
      <c r="E365" s="20" t="s">
        <v>3</v>
      </c>
      <c r="F365" s="20" t="s">
        <v>4</v>
      </c>
      <c r="G365" s="20" t="s">
        <v>5</v>
      </c>
      <c r="H365" s="21"/>
      <c r="I365" s="21" t="s">
        <v>32</v>
      </c>
      <c r="J365" s="21"/>
      <c r="K365" s="20"/>
      <c r="L365" s="20" t="str">
        <f>CONCATENATE(參考!B$1,[資料表詳細]資料表詳細表格[[#This Row],[表名]])</f>
        <v>dlts_caller_display</v>
      </c>
      <c r="M365" s="18" t="str">
        <f>VLOOKUP([資料表詳細]資料表詳細表格[[#This Row],[屬性類型(Postgre)]],選單!$A$3:$B$20,2,FALSE)</f>
        <v>DateTime</v>
      </c>
      <c r="N365" s="20" t="str">
        <f>CONCATENATE(參考!B$2,[資料表詳細]資料表詳細表格[[#This Row],[欄位名稱(英)]])</f>
        <v>ins_time</v>
      </c>
    </row>
    <row r="366" spans="1:14">
      <c r="A366" s="74">
        <v>366</v>
      </c>
      <c r="B366" s="33" t="s">
        <v>132</v>
      </c>
      <c r="C366" s="54" t="s">
        <v>880</v>
      </c>
      <c r="D366" s="19">
        <v>6</v>
      </c>
      <c r="E366" s="20" t="s">
        <v>6</v>
      </c>
      <c r="F366" s="20" t="s">
        <v>7</v>
      </c>
      <c r="G366" s="20" t="s">
        <v>0</v>
      </c>
      <c r="H366" s="21">
        <v>20</v>
      </c>
      <c r="I366" s="21" t="s">
        <v>32</v>
      </c>
      <c r="J366" s="21"/>
      <c r="K366" s="20"/>
      <c r="L366" s="20" t="str">
        <f>CONCATENATE(參考!B$1,[資料表詳細]資料表詳細表格[[#This Row],[表名]])</f>
        <v>dlts_caller_display</v>
      </c>
      <c r="M366" s="18" t="str">
        <f>VLOOKUP([資料表詳細]資料表詳細表格[[#This Row],[屬性類型(Postgre)]],選單!$A$3:$B$20,2,FALSE)</f>
        <v>string</v>
      </c>
      <c r="N366" s="20" t="str">
        <f>CONCATENATE(參考!B$2,[資料表詳細]資料表詳細表格[[#This Row],[欄位名稱(英)]])</f>
        <v>upd_user</v>
      </c>
    </row>
    <row r="367" spans="1:14">
      <c r="A367" s="74">
        <v>367</v>
      </c>
      <c r="B367" s="33" t="s">
        <v>132</v>
      </c>
      <c r="C367" s="54" t="s">
        <v>880</v>
      </c>
      <c r="D367" s="19">
        <v>7</v>
      </c>
      <c r="E367" s="20" t="s">
        <v>8</v>
      </c>
      <c r="F367" s="20" t="s">
        <v>9</v>
      </c>
      <c r="G367" s="20" t="s">
        <v>5</v>
      </c>
      <c r="H367" s="21"/>
      <c r="I367" s="21" t="s">
        <v>32</v>
      </c>
      <c r="J367" s="21"/>
      <c r="K367" s="20"/>
      <c r="L367" s="20" t="str">
        <f>CONCATENATE(參考!B$1,[資料表詳細]資料表詳細表格[[#This Row],[表名]])</f>
        <v>dlts_caller_display</v>
      </c>
      <c r="M367" s="18" t="str">
        <f>VLOOKUP([資料表詳細]資料表詳細表格[[#This Row],[屬性類型(Postgre)]],選單!$A$3:$B$20,2,FALSE)</f>
        <v>DateTime</v>
      </c>
      <c r="N367" s="20" t="str">
        <f>CONCATENATE(參考!B$2,[資料表詳細]資料表詳細表格[[#This Row],[欄位名稱(英)]])</f>
        <v>upd_time</v>
      </c>
    </row>
    <row r="368" spans="1:14">
      <c r="A368" s="74">
        <v>368</v>
      </c>
      <c r="B368" s="18" t="s">
        <v>132</v>
      </c>
      <c r="C368" s="18" t="s">
        <v>894</v>
      </c>
      <c r="D368" s="19">
        <v>1</v>
      </c>
      <c r="E368" s="20" t="s">
        <v>99</v>
      </c>
      <c r="F368" s="20" t="s">
        <v>89</v>
      </c>
      <c r="G368" s="20" t="s">
        <v>71</v>
      </c>
      <c r="H368" s="21"/>
      <c r="I368" s="21" t="s">
        <v>32</v>
      </c>
      <c r="J368" s="21" t="s">
        <v>26</v>
      </c>
      <c r="K368" s="20"/>
      <c r="L368" s="20" t="str">
        <f>CONCATENATE(參考!B$1,[資料表詳細]資料表詳細表格[[#This Row],[表名]])</f>
        <v>dlts_caller_log</v>
      </c>
      <c r="M368" s="18" t="str">
        <f>VLOOKUP([資料表詳細]資料表詳細表格[[#This Row],[屬性類型(Postgre)]],選單!$A$3:$B$20,2,FALSE)</f>
        <v>Guid</v>
      </c>
      <c r="N368" s="20" t="str">
        <f>CONCATENATE(參考!B$2,[資料表詳細]資料表詳細表格[[#This Row],[欄位名稱(英)]])</f>
        <v>log_id</v>
      </c>
    </row>
    <row r="369" spans="1:14">
      <c r="A369" s="74">
        <v>369</v>
      </c>
      <c r="B369" s="33" t="s">
        <v>132</v>
      </c>
      <c r="C369" s="54" t="s">
        <v>893</v>
      </c>
      <c r="D369" s="19">
        <v>2</v>
      </c>
      <c r="E369" s="20" t="s">
        <v>1022</v>
      </c>
      <c r="F369" s="20" t="s">
        <v>887</v>
      </c>
      <c r="G369" s="20" t="s">
        <v>41</v>
      </c>
      <c r="H369" s="21">
        <v>5</v>
      </c>
      <c r="I369" s="21" t="s">
        <v>32</v>
      </c>
      <c r="J369" s="21"/>
      <c r="K369" s="20"/>
      <c r="L369" s="20" t="str">
        <f>CONCATENATE(參考!B$1,[資料表詳細]資料表詳細表格[[#This Row],[表名]])</f>
        <v>dlts_caller_log</v>
      </c>
      <c r="M369" s="18" t="str">
        <f>VLOOKUP([資料表詳細]資料表詳細表格[[#This Row],[屬性類型(Postgre)]],選單!$A$3:$B$20,2,FALSE)</f>
        <v>string</v>
      </c>
      <c r="N369" s="20" t="str">
        <f>CONCATENATE(參考!B$2,[資料表詳細]資料表詳細表格[[#This Row],[欄位名稱(英)]])</f>
        <v>called_number</v>
      </c>
    </row>
    <row r="370" spans="1:14">
      <c r="A370" s="74">
        <v>370</v>
      </c>
      <c r="B370" s="33" t="s">
        <v>132</v>
      </c>
      <c r="C370" s="54" t="s">
        <v>893</v>
      </c>
      <c r="D370" s="19">
        <v>3</v>
      </c>
      <c r="E370" s="20" t="s">
        <v>886</v>
      </c>
      <c r="F370" s="20" t="s">
        <v>888</v>
      </c>
      <c r="G370" s="20" t="s">
        <v>41</v>
      </c>
      <c r="H370" s="21">
        <v>5</v>
      </c>
      <c r="I370" s="21" t="s">
        <v>32</v>
      </c>
      <c r="J370" s="21"/>
      <c r="K370" s="20"/>
      <c r="L370" s="20" t="str">
        <f>CONCATENATE(參考!B$1,[資料表詳細]資料表詳細表格[[#This Row],[表名]])</f>
        <v>dlts_caller_log</v>
      </c>
      <c r="M370" s="18" t="str">
        <f>VLOOKUP([資料表詳細]資料表詳細表格[[#This Row],[屬性類型(Postgre)]],選單!$A$3:$B$20,2,FALSE)</f>
        <v>string</v>
      </c>
      <c r="N370" s="20" t="str">
        <f>CONCATENATE(參考!B$2,[資料表詳細]資料表詳細表格[[#This Row],[欄位名稱(英)]])</f>
        <v>caller_number</v>
      </c>
    </row>
    <row r="371" spans="1:14">
      <c r="A371" s="74">
        <v>371</v>
      </c>
      <c r="B371" s="33" t="s">
        <v>132</v>
      </c>
      <c r="C371" s="54" t="s">
        <v>893</v>
      </c>
      <c r="D371" s="19">
        <v>4</v>
      </c>
      <c r="E371" s="20" t="s">
        <v>898</v>
      </c>
      <c r="F371" s="20" t="s">
        <v>896</v>
      </c>
      <c r="G371" s="20" t="s">
        <v>5</v>
      </c>
      <c r="H371" s="21"/>
      <c r="I371" s="21" t="s">
        <v>32</v>
      </c>
      <c r="J371" s="21"/>
      <c r="K371" s="20"/>
      <c r="L371" s="20" t="str">
        <f>CONCATENATE(參考!B$1,[資料表詳細]資料表詳細表格[[#This Row],[表名]])</f>
        <v>dlts_caller_log</v>
      </c>
      <c r="M371" s="18" t="str">
        <f>VLOOKUP([資料表詳細]資料表詳細表格[[#This Row],[屬性類型(Postgre)]],選單!$A$3:$B$20,2,FALSE)</f>
        <v>DateTime</v>
      </c>
      <c r="N371" s="20" t="str">
        <f>CONCATENATE(參考!B$2,[資料表詳細]資料表詳細表格[[#This Row],[欄位名稱(英)]])</f>
        <v>start_time</v>
      </c>
    </row>
    <row r="372" spans="1:14">
      <c r="A372" s="74">
        <v>372</v>
      </c>
      <c r="B372" s="33" t="s">
        <v>132</v>
      </c>
      <c r="C372" s="54" t="s">
        <v>893</v>
      </c>
      <c r="D372" s="19">
        <v>5</v>
      </c>
      <c r="E372" s="20" t="s">
        <v>899</v>
      </c>
      <c r="F372" s="20" t="s">
        <v>897</v>
      </c>
      <c r="G372" s="20" t="s">
        <v>5</v>
      </c>
      <c r="H372" s="21"/>
      <c r="I372" s="21" t="s">
        <v>32</v>
      </c>
      <c r="J372" s="21"/>
      <c r="K372" s="20"/>
      <c r="L372" s="20" t="str">
        <f>CONCATENATE(參考!B$1,[資料表詳細]資料表詳細表格[[#This Row],[表名]])</f>
        <v>dlts_caller_log</v>
      </c>
      <c r="M372" s="18" t="str">
        <f>VLOOKUP([資料表詳細]資料表詳細表格[[#This Row],[屬性類型(Postgre)]],選單!$A$3:$B$20,2,FALSE)</f>
        <v>DateTime</v>
      </c>
      <c r="N372" s="20" t="str">
        <f>CONCATENATE(參考!B$2,[資料表詳細]資料表詳細表格[[#This Row],[欄位名稱(英)]])</f>
        <v>end_time</v>
      </c>
    </row>
    <row r="373" spans="1:14">
      <c r="A373" s="74">
        <v>373</v>
      </c>
      <c r="B373" s="33" t="s">
        <v>132</v>
      </c>
      <c r="C373" s="54" t="s">
        <v>893</v>
      </c>
      <c r="D373" s="19">
        <v>6</v>
      </c>
      <c r="E373" s="20" t="s">
        <v>1</v>
      </c>
      <c r="F373" s="20" t="s">
        <v>2</v>
      </c>
      <c r="G373" s="20" t="s">
        <v>0</v>
      </c>
      <c r="H373" s="21">
        <v>20</v>
      </c>
      <c r="I373" s="21" t="s">
        <v>32</v>
      </c>
      <c r="J373" s="21"/>
      <c r="K373" s="20"/>
      <c r="L373" s="20" t="str">
        <f>CONCATENATE(參考!B$1,[資料表詳細]資料表詳細表格[[#This Row],[表名]])</f>
        <v>dlts_caller_log</v>
      </c>
      <c r="M373" s="18" t="str">
        <f>VLOOKUP([資料表詳細]資料表詳細表格[[#This Row],[屬性類型(Postgre)]],選單!$A$3:$B$20,2,FALSE)</f>
        <v>string</v>
      </c>
      <c r="N373" s="20" t="str">
        <f>CONCATENATE(參考!B$2,[資料表詳細]資料表詳細表格[[#This Row],[欄位名稱(英)]])</f>
        <v>ins_user</v>
      </c>
    </row>
    <row r="374" spans="1:14">
      <c r="A374" s="74">
        <v>374</v>
      </c>
      <c r="B374" s="33" t="s">
        <v>132</v>
      </c>
      <c r="C374" s="54" t="s">
        <v>893</v>
      </c>
      <c r="D374" s="19">
        <v>7</v>
      </c>
      <c r="E374" s="20" t="s">
        <v>3</v>
      </c>
      <c r="F374" s="20" t="s">
        <v>4</v>
      </c>
      <c r="G374" s="20" t="s">
        <v>5</v>
      </c>
      <c r="H374" s="21"/>
      <c r="I374" s="21" t="s">
        <v>32</v>
      </c>
      <c r="J374" s="21"/>
      <c r="K374" s="20"/>
      <c r="L374" s="20" t="str">
        <f>CONCATENATE(參考!B$1,[資料表詳細]資料表詳細表格[[#This Row],[表名]])</f>
        <v>dlts_caller_log</v>
      </c>
      <c r="M374" s="18" t="str">
        <f>VLOOKUP([資料表詳細]資料表詳細表格[[#This Row],[屬性類型(Postgre)]],選單!$A$3:$B$20,2,FALSE)</f>
        <v>DateTime</v>
      </c>
      <c r="N374" s="20" t="str">
        <f>CONCATENATE(參考!B$2,[資料表詳細]資料表詳細表格[[#This Row],[欄位名稱(英)]])</f>
        <v>ins_time</v>
      </c>
    </row>
    <row r="375" spans="1:14">
      <c r="A375" s="74">
        <v>375</v>
      </c>
      <c r="B375" s="33" t="s">
        <v>132</v>
      </c>
      <c r="C375" s="54" t="s">
        <v>893</v>
      </c>
      <c r="D375" s="19">
        <v>8</v>
      </c>
      <c r="E375" s="20" t="s">
        <v>6</v>
      </c>
      <c r="F375" s="20" t="s">
        <v>7</v>
      </c>
      <c r="G375" s="20" t="s">
        <v>0</v>
      </c>
      <c r="H375" s="21">
        <v>20</v>
      </c>
      <c r="I375" s="21" t="s">
        <v>32</v>
      </c>
      <c r="J375" s="21"/>
      <c r="K375" s="20"/>
      <c r="L375" s="20" t="str">
        <f>CONCATENATE(參考!B$1,[資料表詳細]資料表詳細表格[[#This Row],[表名]])</f>
        <v>dlts_caller_log</v>
      </c>
      <c r="M375" s="18" t="str">
        <f>VLOOKUP([資料表詳細]資料表詳細表格[[#This Row],[屬性類型(Postgre)]],選單!$A$3:$B$20,2,FALSE)</f>
        <v>string</v>
      </c>
      <c r="N375" s="20" t="str">
        <f>CONCATENATE(參考!B$2,[資料表詳細]資料表詳細表格[[#This Row],[欄位名稱(英)]])</f>
        <v>upd_user</v>
      </c>
    </row>
    <row r="376" spans="1:14">
      <c r="A376" s="74">
        <v>376</v>
      </c>
      <c r="B376" s="33" t="s">
        <v>132</v>
      </c>
      <c r="C376" s="54" t="s">
        <v>893</v>
      </c>
      <c r="D376" s="19">
        <v>9</v>
      </c>
      <c r="E376" s="20" t="s">
        <v>8</v>
      </c>
      <c r="F376" s="20" t="s">
        <v>9</v>
      </c>
      <c r="G376" s="20" t="s">
        <v>5</v>
      </c>
      <c r="H376" s="21"/>
      <c r="I376" s="21" t="s">
        <v>32</v>
      </c>
      <c r="J376" s="21"/>
      <c r="K376" s="20"/>
      <c r="L376" s="20" t="str">
        <f>CONCATENATE(參考!B$1,[資料表詳細]資料表詳細表格[[#This Row],[表名]])</f>
        <v>dlts_caller_log</v>
      </c>
      <c r="M376" s="18" t="str">
        <f>VLOOKUP([資料表詳細]資料表詳細表格[[#This Row],[屬性類型(Postgre)]],選單!$A$3:$B$20,2,FALSE)</f>
        <v>DateTime</v>
      </c>
      <c r="N376" s="20" t="str">
        <f>CONCATENATE(參考!B$2,[資料表詳細]資料表詳細表格[[#This Row],[欄位名稱(英)]])</f>
        <v>upd_time</v>
      </c>
    </row>
    <row r="377" spans="1:14">
      <c r="A377" s="74">
        <v>377</v>
      </c>
      <c r="B377" s="18" t="s">
        <v>476</v>
      </c>
      <c r="C377" s="18" t="s">
        <v>994</v>
      </c>
      <c r="D377" s="19">
        <v>1</v>
      </c>
      <c r="E377" s="20" t="s">
        <v>995</v>
      </c>
      <c r="F377" s="20" t="s">
        <v>996</v>
      </c>
      <c r="G377" s="20" t="s">
        <v>0</v>
      </c>
      <c r="H377" s="21">
        <v>10</v>
      </c>
      <c r="I377" s="21" t="s">
        <v>32</v>
      </c>
      <c r="J377" s="21" t="s">
        <v>26</v>
      </c>
      <c r="K377" s="20"/>
      <c r="L377" s="20" t="str">
        <f>CONCATENATE(參考!B$1,[資料表詳細]資料表詳細表格[[#This Row],[表名]])</f>
        <v>otcs_train</v>
      </c>
      <c r="M377" s="18" t="str">
        <f>VLOOKUP([資料表詳細]資料表詳細表格[[#This Row],[屬性類型(Postgre)]],選單!$A$3:$B$20,2,FALSE)</f>
        <v>string</v>
      </c>
      <c r="N377" s="20" t="str">
        <f>CONCATENATE(參考!B$2,[資料表詳細]資料表詳細表格[[#This Row],[欄位名稱(英)]])</f>
        <v>train_id</v>
      </c>
    </row>
    <row r="378" spans="1:14">
      <c r="A378" s="74">
        <v>378</v>
      </c>
      <c r="B378" s="33" t="s">
        <v>476</v>
      </c>
      <c r="C378" s="54" t="s">
        <v>993</v>
      </c>
      <c r="D378" s="19">
        <v>2</v>
      </c>
      <c r="E378" s="20" t="s">
        <v>1056</v>
      </c>
      <c r="F378" s="20" t="s">
        <v>1060</v>
      </c>
      <c r="G378" s="20" t="s">
        <v>0</v>
      </c>
      <c r="H378" s="21">
        <v>4</v>
      </c>
      <c r="I378" s="21" t="s">
        <v>32</v>
      </c>
      <c r="J378" s="21"/>
      <c r="K378" s="20"/>
      <c r="L378" s="20" t="str">
        <f>CONCATENATE(參考!B$1,[資料表詳細]資料表詳細表格[[#This Row],[表名]])</f>
        <v>otcs_train</v>
      </c>
      <c r="M378" s="18" t="str">
        <f>VLOOKUP([資料表詳細]資料表詳細表格[[#This Row],[屬性類型(Postgre)]],選單!$A$3:$B$20,2,FALSE)</f>
        <v>string</v>
      </c>
      <c r="N378" s="20" t="str">
        <f>CONCATENATE(參考!B$2,[資料表詳細]資料表詳細表格[[#This Row],[欄位名稱(英)]])</f>
        <v>car_mc1</v>
      </c>
    </row>
    <row r="379" spans="1:14">
      <c r="A379" s="74">
        <v>379</v>
      </c>
      <c r="B379" s="33" t="s">
        <v>476</v>
      </c>
      <c r="C379" s="54" t="s">
        <v>993</v>
      </c>
      <c r="D379" s="19">
        <v>3</v>
      </c>
      <c r="E379" s="20" t="s">
        <v>1057</v>
      </c>
      <c r="F379" s="20" t="s">
        <v>1061</v>
      </c>
      <c r="G379" s="20" t="s">
        <v>0</v>
      </c>
      <c r="H379" s="21">
        <v>4</v>
      </c>
      <c r="I379" s="21" t="s">
        <v>32</v>
      </c>
      <c r="J379" s="21"/>
      <c r="K379" s="20"/>
      <c r="L379" s="20" t="str">
        <f>CONCATENATE(參考!B$1,[資料表詳細]資料表詳細表格[[#This Row],[表名]])</f>
        <v>otcs_train</v>
      </c>
      <c r="M379" s="18" t="str">
        <f>VLOOKUP([資料表詳細]資料表詳細表格[[#This Row],[屬性類型(Postgre)]],選單!$A$3:$B$20,2,FALSE)</f>
        <v>string</v>
      </c>
      <c r="N379" s="20" t="str">
        <f>CONCATENATE(參考!B$2,[資料表詳細]資料表詳細表格[[#This Row],[欄位名稱(英)]])</f>
        <v>car_m1</v>
      </c>
    </row>
    <row r="380" spans="1:14">
      <c r="A380" s="74">
        <v>380</v>
      </c>
      <c r="B380" s="33" t="s">
        <v>476</v>
      </c>
      <c r="C380" s="54" t="s">
        <v>993</v>
      </c>
      <c r="D380" s="19">
        <v>4</v>
      </c>
      <c r="E380" s="20" t="s">
        <v>1058</v>
      </c>
      <c r="F380" s="20" t="s">
        <v>1062</v>
      </c>
      <c r="G380" s="20" t="s">
        <v>0</v>
      </c>
      <c r="H380" s="21">
        <v>4</v>
      </c>
      <c r="I380" s="21" t="s">
        <v>32</v>
      </c>
      <c r="J380" s="21"/>
      <c r="K380" s="20"/>
      <c r="L380" s="20" t="str">
        <f>CONCATENATE(參考!B$1,[資料表詳細]資料表詳細表格[[#This Row],[表名]])</f>
        <v>otcs_train</v>
      </c>
      <c r="M380" s="18" t="str">
        <f>VLOOKUP([資料表詳細]資料表詳細表格[[#This Row],[屬性類型(Postgre)]],選單!$A$3:$B$20,2,FALSE)</f>
        <v>string</v>
      </c>
      <c r="N380" s="20" t="str">
        <f>CONCATENATE(參考!B$2,[資料表詳細]資料表詳細表格[[#This Row],[欄位名稱(英)]])</f>
        <v>car_m2</v>
      </c>
    </row>
    <row r="381" spans="1:14">
      <c r="A381" s="74">
        <v>381</v>
      </c>
      <c r="B381" s="33" t="s">
        <v>476</v>
      </c>
      <c r="C381" s="54" t="s">
        <v>993</v>
      </c>
      <c r="D381" s="19">
        <v>5</v>
      </c>
      <c r="E381" s="20" t="s">
        <v>1059</v>
      </c>
      <c r="F381" s="20" t="s">
        <v>1063</v>
      </c>
      <c r="G381" s="20" t="s">
        <v>0</v>
      </c>
      <c r="H381" s="21">
        <v>4</v>
      </c>
      <c r="I381" s="21" t="s">
        <v>32</v>
      </c>
      <c r="J381" s="21"/>
      <c r="K381" s="20"/>
      <c r="L381" s="20" t="str">
        <f>CONCATENATE(參考!B$1,[資料表詳細]資料表詳細表格[[#This Row],[表名]])</f>
        <v>otcs_train</v>
      </c>
      <c r="M381" s="18" t="str">
        <f>VLOOKUP([資料表詳細]資料表詳細表格[[#This Row],[屬性類型(Postgre)]],選單!$A$3:$B$20,2,FALSE)</f>
        <v>string</v>
      </c>
      <c r="N381" s="20" t="str">
        <f>CONCATENATE(參考!B$2,[資料表詳細]資料表詳細表格[[#This Row],[欄位名稱(英)]])</f>
        <v>car_mc2</v>
      </c>
    </row>
    <row r="382" spans="1:14">
      <c r="A382" s="74">
        <v>382</v>
      </c>
      <c r="B382" s="33" t="s">
        <v>476</v>
      </c>
      <c r="C382" s="54" t="s">
        <v>993</v>
      </c>
      <c r="D382" s="19">
        <v>6</v>
      </c>
      <c r="E382" s="20" t="s">
        <v>997</v>
      </c>
      <c r="F382" s="20" t="s">
        <v>998</v>
      </c>
      <c r="G382" s="20" t="s">
        <v>0</v>
      </c>
      <c r="H382" s="21">
        <v>5</v>
      </c>
      <c r="I382" s="21" t="s">
        <v>32</v>
      </c>
      <c r="J382" s="21"/>
      <c r="K382" s="20"/>
      <c r="L382" s="20" t="str">
        <f>CONCATENATE(參考!B$1,[資料表詳細]資料表詳細表格[[#This Row],[表名]])</f>
        <v>otcs_train</v>
      </c>
      <c r="M382" s="18" t="str">
        <f>VLOOKUP([資料表詳細]資料表詳細表格[[#This Row],[屬性類型(Postgre)]],選單!$A$3:$B$20,2,FALSE)</f>
        <v>string</v>
      </c>
      <c r="N382" s="20" t="str">
        <f>CONCATENATE(參考!B$2,[資料表詳細]資料表詳細表格[[#This Row],[欄位名稱(英)]])</f>
        <v>train_number</v>
      </c>
    </row>
    <row r="383" spans="1:14">
      <c r="A383" s="74">
        <v>383</v>
      </c>
      <c r="B383" s="33" t="s">
        <v>476</v>
      </c>
      <c r="C383" s="54" t="s">
        <v>993</v>
      </c>
      <c r="D383" s="19">
        <v>7</v>
      </c>
      <c r="E383" s="20" t="s">
        <v>1064</v>
      </c>
      <c r="F383" s="20" t="s">
        <v>999</v>
      </c>
      <c r="G383" s="20" t="s">
        <v>100</v>
      </c>
      <c r="H383" s="21"/>
      <c r="I383" s="21" t="s">
        <v>32</v>
      </c>
      <c r="J383" s="21"/>
      <c r="K383" s="20"/>
      <c r="L383" s="20" t="str">
        <f>CONCATENATE(參考!B$1,[資料表詳細]資料表詳細表格[[#This Row],[表名]])</f>
        <v>otcs_train</v>
      </c>
      <c r="M383" s="18" t="str">
        <f>VLOOKUP([資料表詳細]資料表詳細表格[[#This Row],[屬性類型(Postgre)]],選單!$A$3:$B$20,2,FALSE)</f>
        <v>bool</v>
      </c>
      <c r="N383" s="20" t="str">
        <f>CONCATENATE(參考!B$2,[資料表詳細]資料表詳細表格[[#This Row],[欄位名稱(英)]])</f>
        <v>operation_status</v>
      </c>
    </row>
    <row r="384" spans="1:14">
      <c r="A384" s="74">
        <v>384</v>
      </c>
      <c r="B384" s="33" t="s">
        <v>476</v>
      </c>
      <c r="C384" s="54" t="s">
        <v>993</v>
      </c>
      <c r="D384" s="19">
        <v>8</v>
      </c>
      <c r="E384" s="20" t="s">
        <v>1000</v>
      </c>
      <c r="F384" s="20" t="s">
        <v>1001</v>
      </c>
      <c r="G384" s="20" t="s">
        <v>0</v>
      </c>
      <c r="H384" s="21">
        <v>10</v>
      </c>
      <c r="I384" s="21" t="s">
        <v>34</v>
      </c>
      <c r="J384" s="21"/>
      <c r="K384" s="20" t="s">
        <v>118</v>
      </c>
      <c r="L384" s="20" t="str">
        <f>CONCATENATE(參考!B$1,[資料表詳細]資料表詳細表格[[#This Row],[表名]])</f>
        <v>otcs_train</v>
      </c>
      <c r="M384" s="18" t="str">
        <f>VLOOKUP([資料表詳細]資料表詳細表格[[#This Row],[屬性類型(Postgre)]],選單!$A$3:$B$20,2,FALSE)</f>
        <v>string</v>
      </c>
      <c r="N384" s="20" t="str">
        <f>CONCATENATE(參考!B$2,[資料表詳細]資料表詳細表格[[#This Row],[欄位名稱(英)]])</f>
        <v>train_location</v>
      </c>
    </row>
    <row r="385" spans="1:14">
      <c r="A385" s="74">
        <v>385</v>
      </c>
      <c r="B385" s="33" t="s">
        <v>476</v>
      </c>
      <c r="C385" s="54" t="s">
        <v>993</v>
      </c>
      <c r="D385" s="19">
        <v>9</v>
      </c>
      <c r="E385" s="20" t="s">
        <v>1002</v>
      </c>
      <c r="F385" s="20" t="s">
        <v>1003</v>
      </c>
      <c r="G385" s="20" t="s">
        <v>0</v>
      </c>
      <c r="H385" s="21">
        <v>10</v>
      </c>
      <c r="I385" s="21" t="s">
        <v>34</v>
      </c>
      <c r="J385" s="21"/>
      <c r="K385" s="20"/>
      <c r="L385" s="20" t="str">
        <f>CONCATENATE(參考!B$1,[資料表詳細]資料表詳細表格[[#This Row],[表名]])</f>
        <v>otcs_train</v>
      </c>
      <c r="M385" s="18" t="str">
        <f>VLOOKUP([資料表詳細]資料表詳細表格[[#This Row],[屬性類型(Postgre)]],選單!$A$3:$B$20,2,FALSE)</f>
        <v>string</v>
      </c>
      <c r="N385" s="20" t="str">
        <f>CONCATENATE(參考!B$2,[資料表詳細]資料表詳細表格[[#This Row],[欄位名稱(英)]])</f>
        <v>train_track</v>
      </c>
    </row>
    <row r="386" spans="1:14">
      <c r="A386" s="74">
        <v>386</v>
      </c>
      <c r="B386" s="33" t="s">
        <v>476</v>
      </c>
      <c r="C386" s="54" t="s">
        <v>993</v>
      </c>
      <c r="D386" s="19">
        <v>10</v>
      </c>
      <c r="E386" s="20" t="s">
        <v>1004</v>
      </c>
      <c r="F386" s="20" t="s">
        <v>1005</v>
      </c>
      <c r="G386" s="20" t="s">
        <v>0</v>
      </c>
      <c r="H386" s="21">
        <v>2</v>
      </c>
      <c r="I386" s="21" t="s">
        <v>34</v>
      </c>
      <c r="J386" s="21"/>
      <c r="K386" s="20" t="s">
        <v>1006</v>
      </c>
      <c r="L386" s="20" t="str">
        <f>CONCATENATE(參考!B$1,[資料表詳細]資料表詳細表格[[#This Row],[表名]])</f>
        <v>otcs_train</v>
      </c>
      <c r="M386" s="18" t="str">
        <f>VLOOKUP([資料表詳細]資料表詳細表格[[#This Row],[屬性類型(Postgre)]],選單!$A$3:$B$20,2,FALSE)</f>
        <v>string</v>
      </c>
      <c r="N386" s="20" t="str">
        <f>CONCATENATE(參考!B$2,[資料表詳細]資料表詳細表格[[#This Row],[欄位名稱(英)]])</f>
        <v>train_direction</v>
      </c>
    </row>
    <row r="387" spans="1:14">
      <c r="A387" s="74">
        <v>387</v>
      </c>
      <c r="B387" s="33" t="s">
        <v>476</v>
      </c>
      <c r="C387" s="54" t="s">
        <v>993</v>
      </c>
      <c r="D387" s="19">
        <v>11</v>
      </c>
      <c r="E387" s="20" t="s">
        <v>1</v>
      </c>
      <c r="F387" s="20" t="s">
        <v>2</v>
      </c>
      <c r="G387" s="20" t="s">
        <v>0</v>
      </c>
      <c r="H387" s="21">
        <v>20</v>
      </c>
      <c r="I387" s="21" t="s">
        <v>32</v>
      </c>
      <c r="J387" s="21"/>
      <c r="K387" s="20"/>
      <c r="L387" s="20" t="str">
        <f>CONCATENATE(參考!B$1,[資料表詳細]資料表詳細表格[[#This Row],[表名]])</f>
        <v>otcs_train</v>
      </c>
      <c r="M387" s="18" t="str">
        <f>VLOOKUP([資料表詳細]資料表詳細表格[[#This Row],[屬性類型(Postgre)]],選單!$A$3:$B$20,2,FALSE)</f>
        <v>string</v>
      </c>
      <c r="N387" s="20" t="str">
        <f>CONCATENATE(參考!B$2,[資料表詳細]資料表詳細表格[[#This Row],[欄位名稱(英)]])</f>
        <v>ins_user</v>
      </c>
    </row>
    <row r="388" spans="1:14">
      <c r="A388" s="74">
        <v>388</v>
      </c>
      <c r="B388" s="33" t="s">
        <v>476</v>
      </c>
      <c r="C388" s="54" t="s">
        <v>993</v>
      </c>
      <c r="D388" s="19">
        <v>12</v>
      </c>
      <c r="E388" s="20" t="s">
        <v>3</v>
      </c>
      <c r="F388" s="20" t="s">
        <v>4</v>
      </c>
      <c r="G388" s="20" t="s">
        <v>5</v>
      </c>
      <c r="H388" s="21"/>
      <c r="I388" s="21" t="s">
        <v>32</v>
      </c>
      <c r="J388" s="21"/>
      <c r="K388" s="20"/>
      <c r="L388" s="20" t="str">
        <f>CONCATENATE(參考!B$1,[資料表詳細]資料表詳細表格[[#This Row],[表名]])</f>
        <v>otcs_train</v>
      </c>
      <c r="M388" s="18" t="str">
        <f>VLOOKUP([資料表詳細]資料表詳細表格[[#This Row],[屬性類型(Postgre)]],選單!$A$3:$B$20,2,FALSE)</f>
        <v>DateTime</v>
      </c>
      <c r="N388" s="20" t="str">
        <f>CONCATENATE(參考!B$2,[資料表詳細]資料表詳細表格[[#This Row],[欄位名稱(英)]])</f>
        <v>ins_time</v>
      </c>
    </row>
    <row r="389" spans="1:14">
      <c r="A389" s="74">
        <v>389</v>
      </c>
      <c r="B389" s="33" t="s">
        <v>476</v>
      </c>
      <c r="C389" s="54" t="s">
        <v>993</v>
      </c>
      <c r="D389" s="19">
        <v>13</v>
      </c>
      <c r="E389" s="20" t="s">
        <v>6</v>
      </c>
      <c r="F389" s="20" t="s">
        <v>7</v>
      </c>
      <c r="G389" s="20" t="s">
        <v>0</v>
      </c>
      <c r="H389" s="21">
        <v>20</v>
      </c>
      <c r="I389" s="21" t="s">
        <v>32</v>
      </c>
      <c r="J389" s="21"/>
      <c r="K389" s="20"/>
      <c r="L389" s="20" t="str">
        <f>CONCATENATE(參考!B$1,[資料表詳細]資料表詳細表格[[#This Row],[表名]])</f>
        <v>otcs_train</v>
      </c>
      <c r="M389" s="18" t="str">
        <f>VLOOKUP([資料表詳細]資料表詳細表格[[#This Row],[屬性類型(Postgre)]],選單!$A$3:$B$20,2,FALSE)</f>
        <v>string</v>
      </c>
      <c r="N389" s="20" t="str">
        <f>CONCATENATE(參考!B$2,[資料表詳細]資料表詳細表格[[#This Row],[欄位名稱(英)]])</f>
        <v>upd_user</v>
      </c>
    </row>
    <row r="390" spans="1:14">
      <c r="A390" s="74">
        <v>390</v>
      </c>
      <c r="B390" s="33" t="s">
        <v>476</v>
      </c>
      <c r="C390" s="54" t="s">
        <v>993</v>
      </c>
      <c r="D390" s="19">
        <v>14</v>
      </c>
      <c r="E390" s="20" t="s">
        <v>8</v>
      </c>
      <c r="F390" s="20" t="s">
        <v>9</v>
      </c>
      <c r="G390" s="20" t="s">
        <v>5</v>
      </c>
      <c r="H390" s="21"/>
      <c r="I390" s="21" t="s">
        <v>32</v>
      </c>
      <c r="J390" s="21"/>
      <c r="K390" s="20"/>
      <c r="L390" s="20" t="str">
        <f>CONCATENATE(參考!B$1,[資料表詳細]資料表詳細表格[[#This Row],[表名]])</f>
        <v>otcs_train</v>
      </c>
      <c r="M390" s="18" t="str">
        <f>VLOOKUP([資料表詳細]資料表詳細表格[[#This Row],[屬性類型(Postgre)]],選單!$A$3:$B$20,2,FALSE)</f>
        <v>DateTime</v>
      </c>
      <c r="N390" s="20" t="str">
        <f>CONCATENATE(參考!B$2,[資料表詳細]資料表詳細表格[[#This Row],[欄位名稱(英)]])</f>
        <v>upd_time</v>
      </c>
    </row>
    <row r="391" spans="1:14">
      <c r="A391" s="74">
        <v>391</v>
      </c>
      <c r="B391" s="33" t="s">
        <v>476</v>
      </c>
      <c r="C391" s="18" t="s">
        <v>1117</v>
      </c>
      <c r="D391" s="19">
        <v>1</v>
      </c>
      <c r="E391" s="20" t="s">
        <v>907</v>
      </c>
      <c r="F391" s="20" t="s">
        <v>1082</v>
      </c>
      <c r="G391" s="20" t="s">
        <v>41</v>
      </c>
      <c r="H391" s="21">
        <v>30</v>
      </c>
      <c r="I391" s="21" t="s">
        <v>32</v>
      </c>
      <c r="J391" s="21" t="s">
        <v>27</v>
      </c>
      <c r="K391" s="20"/>
      <c r="L391" s="20" t="str">
        <f>CONCATENATE(參考!B$1,[資料表詳細]資料表詳細表格[[#This Row],[表名]])</f>
        <v>otcs_equip_list</v>
      </c>
      <c r="M391" s="18" t="str">
        <f>VLOOKUP([資料表詳細]資料表詳細表格[[#This Row],[屬性類型(Postgre)]],選單!$A$3:$B$20,2,FALSE)</f>
        <v>string</v>
      </c>
      <c r="N391" s="20" t="str">
        <f>CONCATENATE(參考!B$2,[資料表詳細]資料表詳細表格[[#This Row],[欄位名稱(英)]])</f>
        <v>equip_id</v>
      </c>
    </row>
    <row r="392" spans="1:14">
      <c r="A392" s="74">
        <v>392</v>
      </c>
      <c r="B392" s="33" t="s">
        <v>476</v>
      </c>
      <c r="C392" s="54" t="s">
        <v>1117</v>
      </c>
      <c r="D392" s="19">
        <v>2</v>
      </c>
      <c r="E392" s="20" t="s">
        <v>1070</v>
      </c>
      <c r="F392" s="20" t="s">
        <v>1118</v>
      </c>
      <c r="G392" s="132" t="s">
        <v>41</v>
      </c>
      <c r="H392" s="131">
        <v>20</v>
      </c>
      <c r="I392" s="131" t="s">
        <v>32</v>
      </c>
      <c r="J392" s="21"/>
      <c r="K392" s="20"/>
      <c r="L392" s="20" t="str">
        <f>CONCATENATE(參考!B$1,[資料表詳細]資料表詳細表格[[#This Row],[表名]])</f>
        <v>otcs_equip_list</v>
      </c>
      <c r="M392" s="18" t="str">
        <f>VLOOKUP([資料表詳細]資料表詳細表格[[#This Row],[屬性類型(Postgre)]],選單!$A$3:$B$20,2,FALSE)</f>
        <v>string</v>
      </c>
      <c r="N392" s="20" t="str">
        <f>CONCATENATE(參考!B$2,[資料表詳細]資料表詳細表格[[#This Row],[欄位名稱(英)]])</f>
        <v>equip_name</v>
      </c>
    </row>
    <row r="393" spans="1:14">
      <c r="A393" s="74">
        <v>393</v>
      </c>
      <c r="B393" s="33" t="s">
        <v>476</v>
      </c>
      <c r="C393" s="54" t="s">
        <v>1117</v>
      </c>
      <c r="D393" s="19">
        <v>3</v>
      </c>
      <c r="E393" s="20" t="s">
        <v>1081</v>
      </c>
      <c r="F393" s="20" t="s">
        <v>1119</v>
      </c>
      <c r="G393" s="20" t="s">
        <v>0</v>
      </c>
      <c r="H393" s="21">
        <v>4</v>
      </c>
      <c r="I393" s="21" t="s">
        <v>32</v>
      </c>
      <c r="J393" s="21"/>
      <c r="K393" s="20"/>
      <c r="L393" s="20" t="str">
        <f>CONCATENATE(參考!B$1,[資料表詳細]資料表詳細表格[[#This Row],[表名]])</f>
        <v>otcs_equip_list</v>
      </c>
      <c r="M393" s="18" t="str">
        <f>VLOOKUP([資料表詳細]資料表詳細表格[[#This Row],[屬性類型(Postgre)]],選單!$A$3:$B$20,2,FALSE)</f>
        <v>string</v>
      </c>
      <c r="N393" s="20" t="str">
        <f>CONCATENATE(參考!B$2,[資料表詳細]資料表詳細表格[[#This Row],[欄位名稱(英)]])</f>
        <v>car_type</v>
      </c>
    </row>
    <row r="394" spans="1:14">
      <c r="A394" s="74">
        <v>394</v>
      </c>
      <c r="B394" s="33" t="s">
        <v>476</v>
      </c>
      <c r="C394" s="54" t="s">
        <v>1117</v>
      </c>
      <c r="D394" s="19">
        <v>4</v>
      </c>
      <c r="E394" s="20" t="s">
        <v>1120</v>
      </c>
      <c r="F394" s="20" t="s">
        <v>1122</v>
      </c>
      <c r="G394" s="132" t="s">
        <v>41</v>
      </c>
      <c r="H394" s="131">
        <v>20</v>
      </c>
      <c r="I394" s="131" t="s">
        <v>32</v>
      </c>
      <c r="J394" s="21"/>
      <c r="K394" s="20"/>
      <c r="L394" s="20" t="str">
        <f>CONCATENATE(參考!B$1,[資料表詳細]資料表詳細表格[[#This Row],[表名]])</f>
        <v>otcs_equip_list</v>
      </c>
      <c r="M394" s="18" t="str">
        <f>VLOOKUP([資料表詳細]資料表詳細表格[[#This Row],[屬性類型(Postgre)]],選單!$A$3:$B$20,2,FALSE)</f>
        <v>string</v>
      </c>
      <c r="N394" s="20" t="str">
        <f>CONCATENATE(參考!B$2,[資料表詳細]資料表詳細表格[[#This Row],[欄位名稱(英)]])</f>
        <v>camera_id</v>
      </c>
    </row>
    <row r="395" spans="1:14">
      <c r="A395" s="74">
        <v>395</v>
      </c>
      <c r="B395" s="33" t="s">
        <v>476</v>
      </c>
      <c r="C395" s="54" t="s">
        <v>1117</v>
      </c>
      <c r="D395" s="19">
        <v>5</v>
      </c>
      <c r="E395" s="20" t="s">
        <v>24</v>
      </c>
      <c r="F395" s="20" t="s">
        <v>20</v>
      </c>
      <c r="G395" s="20" t="s">
        <v>14</v>
      </c>
      <c r="H395" s="21"/>
      <c r="I395" s="21" t="s">
        <v>34</v>
      </c>
      <c r="J395" s="21"/>
      <c r="K395" s="20"/>
      <c r="L395" s="20" t="str">
        <f>CONCATENATE(參考!B$1,[資料表詳細]資料表詳細表格[[#This Row],[表名]])</f>
        <v>otcs_equip_list</v>
      </c>
      <c r="M395" s="18" t="str">
        <f>VLOOKUP([資料表詳細]資料表詳細表格[[#This Row],[屬性類型(Postgre)]],選單!$A$3:$B$20,2,FALSE)</f>
        <v>string</v>
      </c>
      <c r="N395" s="20" t="str">
        <f>CONCATENATE(參考!B$2,[資料表詳細]資料表詳細表格[[#This Row],[欄位名稱(英)]])</f>
        <v>remark</v>
      </c>
    </row>
    <row r="396" spans="1:14">
      <c r="A396" s="74">
        <v>396</v>
      </c>
      <c r="B396" s="33" t="s">
        <v>476</v>
      </c>
      <c r="C396" s="54" t="s">
        <v>1117</v>
      </c>
      <c r="D396" s="19">
        <v>6</v>
      </c>
      <c r="E396" s="20" t="s">
        <v>1</v>
      </c>
      <c r="F396" s="20" t="s">
        <v>2</v>
      </c>
      <c r="G396" s="20" t="s">
        <v>0</v>
      </c>
      <c r="H396" s="21">
        <v>20</v>
      </c>
      <c r="I396" s="21" t="s">
        <v>32</v>
      </c>
      <c r="J396" s="21"/>
      <c r="K396" s="20"/>
      <c r="L396" s="20" t="str">
        <f>CONCATENATE(參考!B$1,[資料表詳細]資料表詳細表格[[#This Row],[表名]])</f>
        <v>otcs_equip_list</v>
      </c>
      <c r="M396" s="18" t="str">
        <f>VLOOKUP([資料表詳細]資料表詳細表格[[#This Row],[屬性類型(Postgre)]],選單!$A$3:$B$20,2,FALSE)</f>
        <v>string</v>
      </c>
      <c r="N396" s="20" t="str">
        <f>CONCATENATE(參考!B$2,[資料表詳細]資料表詳細表格[[#This Row],[欄位名稱(英)]])</f>
        <v>ins_user</v>
      </c>
    </row>
    <row r="397" spans="1:14">
      <c r="A397" s="74">
        <v>397</v>
      </c>
      <c r="B397" s="33" t="s">
        <v>476</v>
      </c>
      <c r="C397" s="54" t="s">
        <v>1117</v>
      </c>
      <c r="D397" s="19">
        <v>7</v>
      </c>
      <c r="E397" s="20" t="s">
        <v>3</v>
      </c>
      <c r="F397" s="20" t="s">
        <v>4</v>
      </c>
      <c r="G397" s="20" t="s">
        <v>5</v>
      </c>
      <c r="H397" s="21"/>
      <c r="I397" s="21" t="s">
        <v>32</v>
      </c>
      <c r="J397" s="21"/>
      <c r="K397" s="20"/>
      <c r="L397" s="20" t="str">
        <f>CONCATENATE(參考!B$1,[資料表詳細]資料表詳細表格[[#This Row],[表名]])</f>
        <v>otcs_equip_list</v>
      </c>
      <c r="M397" s="18" t="str">
        <f>VLOOKUP([資料表詳細]資料表詳細表格[[#This Row],[屬性類型(Postgre)]],選單!$A$3:$B$20,2,FALSE)</f>
        <v>DateTime</v>
      </c>
      <c r="N397" s="20" t="str">
        <f>CONCATENATE(參考!B$2,[資料表詳細]資料表詳細表格[[#This Row],[欄位名稱(英)]])</f>
        <v>ins_time</v>
      </c>
    </row>
    <row r="398" spans="1:14">
      <c r="A398" s="74">
        <v>398</v>
      </c>
      <c r="B398" s="33" t="s">
        <v>476</v>
      </c>
      <c r="C398" s="54" t="s">
        <v>1117</v>
      </c>
      <c r="D398" s="19">
        <v>8</v>
      </c>
      <c r="E398" s="20" t="s">
        <v>6</v>
      </c>
      <c r="F398" s="20" t="s">
        <v>7</v>
      </c>
      <c r="G398" s="20" t="s">
        <v>0</v>
      </c>
      <c r="H398" s="21">
        <v>20</v>
      </c>
      <c r="I398" s="21" t="s">
        <v>32</v>
      </c>
      <c r="J398" s="21"/>
      <c r="K398" s="20"/>
      <c r="L398" s="20" t="str">
        <f>CONCATENATE(參考!B$1,[資料表詳細]資料表詳細表格[[#This Row],[表名]])</f>
        <v>otcs_equip_list</v>
      </c>
      <c r="M398" s="18" t="str">
        <f>VLOOKUP([資料表詳細]資料表詳細表格[[#This Row],[屬性類型(Postgre)]],選單!$A$3:$B$20,2,FALSE)</f>
        <v>string</v>
      </c>
      <c r="N398" s="20" t="str">
        <f>CONCATENATE(參考!B$2,[資料表詳細]資料表詳細表格[[#This Row],[欄位名稱(英)]])</f>
        <v>upd_user</v>
      </c>
    </row>
    <row r="399" spans="1:14">
      <c r="A399" s="74">
        <v>399</v>
      </c>
      <c r="B399" s="33" t="s">
        <v>476</v>
      </c>
      <c r="C399" s="54" t="s">
        <v>1117</v>
      </c>
      <c r="D399" s="19">
        <v>9</v>
      </c>
      <c r="E399" s="20" t="s">
        <v>8</v>
      </c>
      <c r="F399" s="20" t="s">
        <v>9</v>
      </c>
      <c r="G399" s="20" t="s">
        <v>5</v>
      </c>
      <c r="H399" s="21"/>
      <c r="I399" s="21" t="s">
        <v>32</v>
      </c>
      <c r="J399" s="21"/>
      <c r="K399" s="20"/>
      <c r="L399" s="20" t="str">
        <f>CONCATENATE(參考!B$1,[資料表詳細]資料表詳細表格[[#This Row],[表名]])</f>
        <v>otcs_equip_list</v>
      </c>
      <c r="M399" s="18" t="str">
        <f>VLOOKUP([資料表詳細]資料表詳細表格[[#This Row],[屬性類型(Postgre)]],選單!$A$3:$B$20,2,FALSE)</f>
        <v>DateTime</v>
      </c>
      <c r="N399" s="20" t="str">
        <f>CONCATENATE(參考!B$2,[資料表詳細]資料表詳細表格[[#This Row],[欄位名稱(英)]])</f>
        <v>upd_time</v>
      </c>
    </row>
    <row r="400" spans="1:14">
      <c r="A400" s="74">
        <v>400</v>
      </c>
      <c r="B400" s="33" t="s">
        <v>476</v>
      </c>
      <c r="C400" s="18" t="s">
        <v>1068</v>
      </c>
      <c r="D400" s="19">
        <v>1</v>
      </c>
      <c r="E400" s="20" t="s">
        <v>1072</v>
      </c>
      <c r="F400" s="20" t="s">
        <v>1075</v>
      </c>
      <c r="G400" s="20" t="s">
        <v>0</v>
      </c>
      <c r="H400" s="21">
        <v>10</v>
      </c>
      <c r="I400" s="21" t="s">
        <v>32</v>
      </c>
      <c r="J400" s="21" t="s">
        <v>26</v>
      </c>
      <c r="K400" s="20"/>
      <c r="L400" s="20" t="str">
        <f>CONCATENATE(參考!B$1,[資料表詳細]資料表詳細表格[[#This Row],[表名]])</f>
        <v>otcs_event_list</v>
      </c>
      <c r="M400" s="18" t="str">
        <f>VLOOKUP([資料表詳細]資料表詳細表格[[#This Row],[屬性類型(Postgre)]],選單!$A$3:$B$20,2,FALSE)</f>
        <v>string</v>
      </c>
      <c r="N400" s="20" t="str">
        <f>CONCATENATE(參考!B$2,[資料表詳細]資料表詳細表格[[#This Row],[欄位名稱(英)]])</f>
        <v>event_list_id</v>
      </c>
    </row>
    <row r="401" spans="1:14">
      <c r="A401" s="74">
        <v>401</v>
      </c>
      <c r="B401" s="33" t="s">
        <v>476</v>
      </c>
      <c r="C401" s="54" t="s">
        <v>1068</v>
      </c>
      <c r="D401" s="19">
        <v>2</v>
      </c>
      <c r="E401" s="20" t="s">
        <v>1073</v>
      </c>
      <c r="F401" s="20" t="s">
        <v>1076</v>
      </c>
      <c r="G401" s="20" t="s">
        <v>0</v>
      </c>
      <c r="H401" s="21">
        <v>10</v>
      </c>
      <c r="I401" s="21" t="s">
        <v>32</v>
      </c>
      <c r="J401" s="21"/>
      <c r="K401" s="20"/>
      <c r="L401" s="20" t="str">
        <f>CONCATENATE(參考!B$1,[資料表詳細]資料表詳細表格[[#This Row],[表名]])</f>
        <v>otcs_event_list</v>
      </c>
      <c r="M401" s="18" t="str">
        <f>VLOOKUP([資料表詳細]資料表詳細表格[[#This Row],[屬性類型(Postgre)]],選單!$A$3:$B$20,2,FALSE)</f>
        <v>string</v>
      </c>
      <c r="N401" s="20" t="str">
        <f>CONCATENATE(參考!B$2,[資料表詳細]資料表詳細表格[[#This Row],[欄位名稱(英)]])</f>
        <v>event_source</v>
      </c>
    </row>
    <row r="402" spans="1:14">
      <c r="A402" s="74">
        <v>402</v>
      </c>
      <c r="B402" s="33" t="s">
        <v>476</v>
      </c>
      <c r="C402" s="54" t="s">
        <v>1068</v>
      </c>
      <c r="D402" s="19">
        <v>3</v>
      </c>
      <c r="E402" s="20" t="s">
        <v>12</v>
      </c>
      <c r="F402" s="20" t="s">
        <v>1080</v>
      </c>
      <c r="G402" s="20" t="s">
        <v>0</v>
      </c>
      <c r="H402" s="21">
        <v>50</v>
      </c>
      <c r="I402" s="21" t="s">
        <v>32</v>
      </c>
      <c r="J402" s="21"/>
      <c r="K402" s="20"/>
      <c r="L402" s="20" t="str">
        <f>CONCATENATE(參考!B$1,[資料表詳細]資料表詳細表格[[#This Row],[表名]])</f>
        <v>otcs_event_list</v>
      </c>
      <c r="M402" s="18" t="str">
        <f>VLOOKUP([資料表詳細]資料表詳細表格[[#This Row],[屬性類型(Postgre)]],選單!$A$3:$B$20,2,FALSE)</f>
        <v>string</v>
      </c>
      <c r="N402" s="20" t="str">
        <f>CONCATENATE(參考!B$2,[資料表詳細]資料表詳細表格[[#This Row],[欄位名稱(英)]])</f>
        <v>description</v>
      </c>
    </row>
    <row r="403" spans="1:14">
      <c r="A403" s="74">
        <v>403</v>
      </c>
      <c r="B403" s="33" t="s">
        <v>476</v>
      </c>
      <c r="C403" s="54" t="s">
        <v>1068</v>
      </c>
      <c r="D403" s="19">
        <v>4</v>
      </c>
      <c r="E403" s="20" t="s">
        <v>484</v>
      </c>
      <c r="F403" s="20" t="s">
        <v>1077</v>
      </c>
      <c r="G403" s="20" t="s">
        <v>0</v>
      </c>
      <c r="H403" s="21">
        <v>50</v>
      </c>
      <c r="I403" s="21" t="s">
        <v>32</v>
      </c>
      <c r="J403" s="21"/>
      <c r="K403" s="20"/>
      <c r="L403" s="20" t="str">
        <f>CONCATENATE(參考!B$1,[資料表詳細]資料表詳細表格[[#This Row],[表名]])</f>
        <v>otcs_event_list</v>
      </c>
      <c r="M403" s="18" t="str">
        <f>VLOOKUP([資料表詳細]資料表詳細表格[[#This Row],[屬性類型(Postgre)]],選單!$A$3:$B$20,2,FALSE)</f>
        <v>string</v>
      </c>
      <c r="N403" s="20" t="str">
        <f>CONCATENATE(參考!B$2,[資料表詳細]資料表詳細表格[[#This Row],[欄位名稱(英)]])</f>
        <v>description_eng</v>
      </c>
    </row>
    <row r="404" spans="1:14">
      <c r="A404" s="74">
        <v>404</v>
      </c>
      <c r="B404" s="33" t="s">
        <v>476</v>
      </c>
      <c r="C404" s="54" t="s">
        <v>1068</v>
      </c>
      <c r="D404" s="19">
        <v>5</v>
      </c>
      <c r="E404" s="20" t="s">
        <v>471</v>
      </c>
      <c r="F404" s="20" t="s">
        <v>1078</v>
      </c>
      <c r="G404" s="20" t="s">
        <v>14</v>
      </c>
      <c r="H404" s="21"/>
      <c r="I404" s="21" t="s">
        <v>32</v>
      </c>
      <c r="J404" s="21"/>
      <c r="K404" s="20"/>
      <c r="L404" s="20" t="str">
        <f>CONCATENATE(參考!B$1,[資料表詳細]資料表詳細表格[[#This Row],[表名]])</f>
        <v>otcs_event_list</v>
      </c>
      <c r="M404" s="18" t="str">
        <f>VLOOKUP([資料表詳細]資料表詳細表格[[#This Row],[屬性類型(Postgre)]],選單!$A$3:$B$20,2,FALSE)</f>
        <v>string</v>
      </c>
      <c r="N404" s="20" t="str">
        <f>CONCATENATE(參考!B$2,[資料表詳細]資料表詳細表格[[#This Row],[欄位名稱(英)]])</f>
        <v>possible_reason</v>
      </c>
    </row>
    <row r="405" spans="1:14">
      <c r="A405" s="74">
        <v>405</v>
      </c>
      <c r="B405" s="33" t="s">
        <v>476</v>
      </c>
      <c r="C405" s="54" t="s">
        <v>1068</v>
      </c>
      <c r="D405" s="19">
        <v>6</v>
      </c>
      <c r="E405" s="20" t="s">
        <v>480</v>
      </c>
      <c r="F405" s="20" t="s">
        <v>1079</v>
      </c>
      <c r="G405" s="20" t="s">
        <v>14</v>
      </c>
      <c r="H405" s="21"/>
      <c r="I405" s="21" t="s">
        <v>32</v>
      </c>
      <c r="J405" s="21"/>
      <c r="K405" s="20"/>
      <c r="L405" s="20" t="str">
        <f>CONCATENATE(參考!B$1,[資料表詳細]資料表詳細表格[[#This Row],[表名]])</f>
        <v>otcs_event_list</v>
      </c>
      <c r="M405" s="18" t="str">
        <f>VLOOKUP([資料表詳細]資料表詳細表格[[#This Row],[屬性類型(Postgre)]],選單!$A$3:$B$20,2,FALSE)</f>
        <v>string</v>
      </c>
      <c r="N405" s="20" t="str">
        <f>CONCATENATE(參考!B$2,[資料表詳細]資料表詳細表格[[#This Row],[欄位名稱(英)]])</f>
        <v>possible_reason_eng</v>
      </c>
    </row>
    <row r="406" spans="1:14">
      <c r="A406" s="74">
        <v>406</v>
      </c>
      <c r="B406" s="33" t="s">
        <v>476</v>
      </c>
      <c r="C406" s="54" t="s">
        <v>1068</v>
      </c>
      <c r="D406" s="19">
        <v>7</v>
      </c>
      <c r="E406" s="20" t="s">
        <v>1</v>
      </c>
      <c r="F406" s="20" t="s">
        <v>2</v>
      </c>
      <c r="G406" s="20" t="s">
        <v>0</v>
      </c>
      <c r="H406" s="21">
        <v>20</v>
      </c>
      <c r="I406" s="21" t="s">
        <v>32</v>
      </c>
      <c r="J406" s="21"/>
      <c r="K406" s="20"/>
      <c r="L406" s="20" t="str">
        <f>CONCATENATE(參考!B$1,[資料表詳細]資料表詳細表格[[#This Row],[表名]])</f>
        <v>otcs_event_list</v>
      </c>
      <c r="M406" s="18" t="str">
        <f>VLOOKUP([資料表詳細]資料表詳細表格[[#This Row],[屬性類型(Postgre)]],選單!$A$3:$B$20,2,FALSE)</f>
        <v>string</v>
      </c>
      <c r="N406" s="20" t="str">
        <f>CONCATENATE(參考!B$2,[資料表詳細]資料表詳細表格[[#This Row],[欄位名稱(英)]])</f>
        <v>ins_user</v>
      </c>
    </row>
    <row r="407" spans="1:14">
      <c r="A407" s="74">
        <v>407</v>
      </c>
      <c r="B407" s="33" t="s">
        <v>476</v>
      </c>
      <c r="C407" s="54" t="s">
        <v>1068</v>
      </c>
      <c r="D407" s="19">
        <v>8</v>
      </c>
      <c r="E407" s="20" t="s">
        <v>3</v>
      </c>
      <c r="F407" s="20" t="s">
        <v>4</v>
      </c>
      <c r="G407" s="20" t="s">
        <v>5</v>
      </c>
      <c r="H407" s="21"/>
      <c r="I407" s="21" t="s">
        <v>32</v>
      </c>
      <c r="J407" s="21"/>
      <c r="K407" s="20"/>
      <c r="L407" s="20" t="str">
        <f>CONCATENATE(參考!B$1,[資料表詳細]資料表詳細表格[[#This Row],[表名]])</f>
        <v>otcs_event_list</v>
      </c>
      <c r="M407" s="18" t="str">
        <f>VLOOKUP([資料表詳細]資料表詳細表格[[#This Row],[屬性類型(Postgre)]],選單!$A$3:$B$20,2,FALSE)</f>
        <v>DateTime</v>
      </c>
      <c r="N407" s="20" t="str">
        <f>CONCATENATE(參考!B$2,[資料表詳細]資料表詳細表格[[#This Row],[欄位名稱(英)]])</f>
        <v>ins_time</v>
      </c>
    </row>
    <row r="408" spans="1:14">
      <c r="A408" s="74">
        <v>408</v>
      </c>
      <c r="B408" s="33" t="s">
        <v>476</v>
      </c>
      <c r="C408" s="54" t="s">
        <v>1068</v>
      </c>
      <c r="D408" s="19">
        <v>9</v>
      </c>
      <c r="E408" s="20" t="s">
        <v>6</v>
      </c>
      <c r="F408" s="20" t="s">
        <v>7</v>
      </c>
      <c r="G408" s="20" t="s">
        <v>0</v>
      </c>
      <c r="H408" s="21">
        <v>20</v>
      </c>
      <c r="I408" s="21" t="s">
        <v>32</v>
      </c>
      <c r="J408" s="21"/>
      <c r="K408" s="20"/>
      <c r="L408" s="20" t="str">
        <f>CONCATENATE(參考!B$1,[資料表詳細]資料表詳細表格[[#This Row],[表名]])</f>
        <v>otcs_event_list</v>
      </c>
      <c r="M408" s="18" t="str">
        <f>VLOOKUP([資料表詳細]資料表詳細表格[[#This Row],[屬性類型(Postgre)]],選單!$A$3:$B$20,2,FALSE)</f>
        <v>string</v>
      </c>
      <c r="N408" s="20" t="str">
        <f>CONCATENATE(參考!B$2,[資料表詳細]資料表詳細表格[[#This Row],[欄位名稱(英)]])</f>
        <v>upd_user</v>
      </c>
    </row>
    <row r="409" spans="1:14">
      <c r="A409" s="74">
        <v>409</v>
      </c>
      <c r="B409" s="33" t="s">
        <v>476</v>
      </c>
      <c r="C409" s="54" t="s">
        <v>1068</v>
      </c>
      <c r="D409" s="19">
        <v>10</v>
      </c>
      <c r="E409" s="20" t="s">
        <v>8</v>
      </c>
      <c r="F409" s="20" t="s">
        <v>9</v>
      </c>
      <c r="G409" s="20" t="s">
        <v>5</v>
      </c>
      <c r="H409" s="21"/>
      <c r="I409" s="21" t="s">
        <v>32</v>
      </c>
      <c r="J409" s="21"/>
      <c r="K409" s="20"/>
      <c r="L409" s="20" t="str">
        <f>CONCATENATE(參考!B$1,[資料表詳細]資料表詳細表格[[#This Row],[表名]])</f>
        <v>otcs_event_list</v>
      </c>
      <c r="M409" s="18" t="str">
        <f>VLOOKUP([資料表詳細]資料表詳細表格[[#This Row],[屬性類型(Postgre)]],選單!$A$3:$B$20,2,FALSE)</f>
        <v>DateTime</v>
      </c>
      <c r="N409" s="20" t="str">
        <f>CONCATENATE(參考!B$2,[資料表詳細]資料表詳細表格[[#This Row],[欄位名稱(英)]])</f>
        <v>upd_time</v>
      </c>
    </row>
    <row r="410" spans="1:14">
      <c r="A410" s="74">
        <v>410</v>
      </c>
      <c r="B410" s="33" t="s">
        <v>476</v>
      </c>
      <c r="C410" s="18" t="s">
        <v>1067</v>
      </c>
      <c r="D410" s="19">
        <v>1</v>
      </c>
      <c r="E410" s="20" t="s">
        <v>1083</v>
      </c>
      <c r="F410" s="20" t="s">
        <v>1087</v>
      </c>
      <c r="G410" s="20" t="s">
        <v>71</v>
      </c>
      <c r="H410" s="21"/>
      <c r="I410" s="21" t="s">
        <v>32</v>
      </c>
      <c r="J410" s="21" t="s">
        <v>27</v>
      </c>
      <c r="K410" s="20"/>
      <c r="L410" s="20" t="str">
        <f>CONCATENATE(參考!B$1,[資料表詳細]資料表詳細表格[[#This Row],[表名]])</f>
        <v>otcs_event</v>
      </c>
      <c r="M410" s="18" t="str">
        <f>VLOOKUP([資料表詳細]資料表詳細表格[[#This Row],[屬性類型(Postgre)]],選單!$A$3:$B$20,2,FALSE)</f>
        <v>Guid</v>
      </c>
      <c r="N410" s="20" t="str">
        <f>CONCATENATE(參考!B$2,[資料表詳細]資料表詳細表格[[#This Row],[欄位名稱(英)]])</f>
        <v>event_id</v>
      </c>
    </row>
    <row r="411" spans="1:14">
      <c r="A411" s="74">
        <v>411</v>
      </c>
      <c r="B411" s="33" t="s">
        <v>476</v>
      </c>
      <c r="C411" s="54" t="s">
        <v>1067</v>
      </c>
      <c r="D411" s="19">
        <v>2</v>
      </c>
      <c r="E411" s="20" t="s">
        <v>1089</v>
      </c>
      <c r="F411" s="20" t="s">
        <v>503</v>
      </c>
      <c r="G411" s="20" t="s">
        <v>0</v>
      </c>
      <c r="H411" s="21">
        <v>14</v>
      </c>
      <c r="I411" s="21" t="s">
        <v>32</v>
      </c>
      <c r="J411" s="21"/>
      <c r="K411" s="20"/>
      <c r="L411" s="20" t="str">
        <f>CONCATENATE(參考!B$1,[資料表詳細]資料表詳細表格[[#This Row],[表名]])</f>
        <v>otcs_event</v>
      </c>
      <c r="M411" s="18" t="str">
        <f>VLOOKUP([資料表詳細]資料表詳細表格[[#This Row],[屬性類型(Postgre)]],選單!$A$3:$B$20,2,FALSE)</f>
        <v>string</v>
      </c>
      <c r="N411" s="20" t="str">
        <f>CONCATENATE(參考!B$2,[資料表詳細]資料表詳細表格[[#This Row],[欄位名稱(英)]])</f>
        <v>event_time</v>
      </c>
    </row>
    <row r="412" spans="1:14">
      <c r="A412" s="74">
        <v>412</v>
      </c>
      <c r="B412" s="33" t="s">
        <v>476</v>
      </c>
      <c r="C412" s="54" t="s">
        <v>1067</v>
      </c>
      <c r="D412" s="19">
        <v>3</v>
      </c>
      <c r="E412" s="20" t="s">
        <v>499</v>
      </c>
      <c r="F412" s="20" t="s">
        <v>504</v>
      </c>
      <c r="G412" s="20" t="s">
        <v>0</v>
      </c>
      <c r="H412" s="21">
        <v>14</v>
      </c>
      <c r="I412" s="21" t="s">
        <v>34</v>
      </c>
      <c r="J412" s="21"/>
      <c r="K412" s="20"/>
      <c r="L412" s="20" t="str">
        <f>CONCATENATE(參考!B$1,[資料表詳細]資料表詳細表格[[#This Row],[表名]])</f>
        <v>otcs_event</v>
      </c>
      <c r="M412" s="18" t="str">
        <f>VLOOKUP([資料表詳細]資料表詳細表格[[#This Row],[屬性類型(Postgre)]],選單!$A$3:$B$20,2,FALSE)</f>
        <v>string</v>
      </c>
      <c r="N412" s="20" t="str">
        <f>CONCATENATE(參考!B$2,[資料表詳細]資料表詳細表格[[#This Row],[欄位名稱(英)]])</f>
        <v>release_time</v>
      </c>
    </row>
    <row r="413" spans="1:14">
      <c r="A413" s="74">
        <v>413</v>
      </c>
      <c r="B413" s="33" t="s">
        <v>476</v>
      </c>
      <c r="C413" s="54" t="s">
        <v>1067</v>
      </c>
      <c r="D413" s="19">
        <v>4</v>
      </c>
      <c r="E413" s="20" t="s">
        <v>500</v>
      </c>
      <c r="F413" s="20" t="s">
        <v>505</v>
      </c>
      <c r="G413" s="20" t="s">
        <v>0</v>
      </c>
      <c r="H413" s="21">
        <v>14</v>
      </c>
      <c r="I413" s="21" t="s">
        <v>34</v>
      </c>
      <c r="J413" s="21"/>
      <c r="K413" s="20"/>
      <c r="L413" s="20" t="str">
        <f>CONCATENATE(參考!B$1,[資料表詳細]資料表詳細表格[[#This Row],[表名]])</f>
        <v>otcs_event</v>
      </c>
      <c r="M413" s="18" t="str">
        <f>VLOOKUP([資料表詳細]資料表詳細表格[[#This Row],[屬性類型(Postgre)]],選單!$A$3:$B$20,2,FALSE)</f>
        <v>string</v>
      </c>
      <c r="N413" s="20" t="str">
        <f>CONCATENATE(參考!B$2,[資料表詳細]資料表詳細表格[[#This Row],[欄位名稱(英)]])</f>
        <v>check_time</v>
      </c>
    </row>
    <row r="414" spans="1:14">
      <c r="A414" s="74">
        <v>414</v>
      </c>
      <c r="B414" s="33" t="s">
        <v>476</v>
      </c>
      <c r="C414" s="54" t="s">
        <v>1067</v>
      </c>
      <c r="D414" s="19">
        <v>5</v>
      </c>
      <c r="E414" s="20" t="s">
        <v>964</v>
      </c>
      <c r="F414" s="20" t="s">
        <v>1084</v>
      </c>
      <c r="G414" s="20" t="s">
        <v>41</v>
      </c>
      <c r="H414" s="21">
        <v>20</v>
      </c>
      <c r="I414" s="21" t="s">
        <v>34</v>
      </c>
      <c r="J414" s="21"/>
      <c r="K414" s="20"/>
      <c r="L414" s="20" t="str">
        <f>CONCATENATE(參考!B$1,[資料表詳細]資料表詳細表格[[#This Row],[表名]])</f>
        <v>otcs_event</v>
      </c>
      <c r="M414" s="18" t="str">
        <f>VLOOKUP([資料表詳細]資料表詳細表格[[#This Row],[屬性類型(Postgre)]],選單!$A$3:$B$20,2,FALSE)</f>
        <v>string</v>
      </c>
      <c r="N414" s="20" t="str">
        <f>CONCATENATE(參考!B$2,[資料表詳細]資料表詳細表格[[#This Row],[欄位名稱(英)]])</f>
        <v>check_account_id</v>
      </c>
    </row>
    <row r="415" spans="1:14">
      <c r="A415" s="74">
        <v>415</v>
      </c>
      <c r="B415" s="33" t="s">
        <v>476</v>
      </c>
      <c r="C415" s="54" t="s">
        <v>1067</v>
      </c>
      <c r="D415" s="19">
        <v>6</v>
      </c>
      <c r="E415" s="20" t="s">
        <v>1085</v>
      </c>
      <c r="F415" s="20" t="s">
        <v>1086</v>
      </c>
      <c r="G415" s="20" t="s">
        <v>76</v>
      </c>
      <c r="H415" s="21"/>
      <c r="I415" s="21" t="s">
        <v>34</v>
      </c>
      <c r="J415" s="21"/>
      <c r="K415" s="20"/>
      <c r="L415" s="20" t="str">
        <f>CONCATENATE(參考!B$1,[資料表詳細]資料表詳細表格[[#This Row],[表名]])</f>
        <v>otcs_event</v>
      </c>
      <c r="M415" s="18" t="str">
        <f>VLOOKUP([資料表詳細]資料表詳細表格[[#This Row],[屬性類型(Postgre)]],選單!$A$3:$B$20,2,FALSE)</f>
        <v>string</v>
      </c>
      <c r="N415" s="20" t="str">
        <f>CONCATENATE(參考!B$2,[資料表詳細]資料表詳細表格[[#This Row],[欄位名稱(英)]])</f>
        <v>check_account_name</v>
      </c>
    </row>
    <row r="416" spans="1:14">
      <c r="A416" s="74">
        <v>416</v>
      </c>
      <c r="B416" s="33" t="s">
        <v>476</v>
      </c>
      <c r="C416" s="54" t="s">
        <v>1067</v>
      </c>
      <c r="D416" s="19">
        <v>7</v>
      </c>
      <c r="E416" s="20" t="s">
        <v>906</v>
      </c>
      <c r="F416" s="20" t="s">
        <v>1082</v>
      </c>
      <c r="G416" s="20" t="s">
        <v>41</v>
      </c>
      <c r="H416" s="21">
        <v>10</v>
      </c>
      <c r="I416" s="21" t="s">
        <v>32</v>
      </c>
      <c r="J416" s="21"/>
      <c r="K416" s="20"/>
      <c r="L416" s="20" t="str">
        <f>CONCATENATE(參考!B$1,[資料表詳細]資料表詳細表格[[#This Row],[表名]])</f>
        <v>otcs_event</v>
      </c>
      <c r="M416" s="18" t="str">
        <f>VLOOKUP([資料表詳細]資料表詳細表格[[#This Row],[屬性類型(Postgre)]],選單!$A$3:$B$20,2,FALSE)</f>
        <v>string</v>
      </c>
      <c r="N416" s="20" t="str">
        <f>CONCATENATE(參考!B$2,[資料表詳細]資料表詳細表格[[#This Row],[欄位名稱(英)]])</f>
        <v>equip_id</v>
      </c>
    </row>
    <row r="417" spans="1:14">
      <c r="A417" s="74">
        <v>417</v>
      </c>
      <c r="B417" s="33" t="s">
        <v>476</v>
      </c>
      <c r="C417" s="54" t="s">
        <v>1067</v>
      </c>
      <c r="D417" s="19">
        <v>8</v>
      </c>
      <c r="E417" s="20" t="s">
        <v>1071</v>
      </c>
      <c r="F417" s="20" t="s">
        <v>1074</v>
      </c>
      <c r="G417" s="20" t="s">
        <v>41</v>
      </c>
      <c r="H417" s="21">
        <v>10</v>
      </c>
      <c r="I417" s="21" t="s">
        <v>32</v>
      </c>
      <c r="J417" s="21"/>
      <c r="K417" s="20"/>
      <c r="L417" s="20" t="str">
        <f>CONCATENATE(參考!B$1,[資料表詳細]資料表詳細表格[[#This Row],[表名]])</f>
        <v>otcs_event</v>
      </c>
      <c r="M417" s="18" t="str">
        <f>VLOOKUP([資料表詳細]資料表詳細表格[[#This Row],[屬性類型(Postgre)]],選單!$A$3:$B$20,2,FALSE)</f>
        <v>string</v>
      </c>
      <c r="N417" s="20" t="str">
        <f>CONCATENATE(參考!B$2,[資料表詳細]資料表詳細表格[[#This Row],[欄位名稱(英)]])</f>
        <v>event_list_id</v>
      </c>
    </row>
    <row r="418" spans="1:14">
      <c r="A418" s="74">
        <v>418</v>
      </c>
      <c r="B418" s="33" t="s">
        <v>476</v>
      </c>
      <c r="C418" s="54" t="s">
        <v>1067</v>
      </c>
      <c r="D418" s="19">
        <v>9</v>
      </c>
      <c r="E418" s="20" t="s">
        <v>1</v>
      </c>
      <c r="F418" s="20" t="s">
        <v>2</v>
      </c>
      <c r="G418" s="20" t="s">
        <v>41</v>
      </c>
      <c r="H418" s="21">
        <v>20</v>
      </c>
      <c r="I418" s="21" t="s">
        <v>32</v>
      </c>
      <c r="J418" s="21"/>
      <c r="K418" s="20"/>
      <c r="L418" s="20" t="str">
        <f>CONCATENATE(參考!B$1,[資料表詳細]資料表詳細表格[[#This Row],[表名]])</f>
        <v>otcs_event</v>
      </c>
      <c r="M418" s="18" t="str">
        <f>VLOOKUP([資料表詳細]資料表詳細表格[[#This Row],[屬性類型(Postgre)]],選單!$A$3:$B$20,2,FALSE)</f>
        <v>string</v>
      </c>
      <c r="N418" s="20" t="str">
        <f>CONCATENATE(參考!B$2,[資料表詳細]資料表詳細表格[[#This Row],[欄位名稱(英)]])</f>
        <v>ins_user</v>
      </c>
    </row>
    <row r="419" spans="1:14">
      <c r="A419" s="74">
        <v>419</v>
      </c>
      <c r="B419" s="33" t="s">
        <v>476</v>
      </c>
      <c r="C419" s="54" t="s">
        <v>1067</v>
      </c>
      <c r="D419" s="19">
        <v>10</v>
      </c>
      <c r="E419" s="20" t="s">
        <v>3</v>
      </c>
      <c r="F419" s="20" t="s">
        <v>4</v>
      </c>
      <c r="G419" s="20" t="s">
        <v>5</v>
      </c>
      <c r="H419" s="21"/>
      <c r="I419" s="21" t="s">
        <v>32</v>
      </c>
      <c r="J419" s="21"/>
      <c r="K419" s="20"/>
      <c r="L419" s="20" t="str">
        <f>CONCATENATE(參考!B$1,[資料表詳細]資料表詳細表格[[#This Row],[表名]])</f>
        <v>otcs_event</v>
      </c>
      <c r="M419" s="18" t="str">
        <f>VLOOKUP([資料表詳細]資料表詳細表格[[#This Row],[屬性類型(Postgre)]],選單!$A$3:$B$20,2,FALSE)</f>
        <v>DateTime</v>
      </c>
      <c r="N419" s="20" t="str">
        <f>CONCATENATE(參考!B$2,[資料表詳細]資料表詳細表格[[#This Row],[欄位名稱(英)]])</f>
        <v>ins_time</v>
      </c>
    </row>
    <row r="420" spans="1:14">
      <c r="A420" s="74">
        <v>420</v>
      </c>
      <c r="B420" s="33" t="s">
        <v>476</v>
      </c>
      <c r="C420" s="54" t="s">
        <v>1067</v>
      </c>
      <c r="D420" s="19">
        <v>11</v>
      </c>
      <c r="E420" s="20" t="s">
        <v>6</v>
      </c>
      <c r="F420" s="20" t="s">
        <v>7</v>
      </c>
      <c r="G420" s="20" t="s">
        <v>41</v>
      </c>
      <c r="H420" s="21">
        <v>20</v>
      </c>
      <c r="I420" s="21" t="s">
        <v>32</v>
      </c>
      <c r="J420" s="21"/>
      <c r="K420" s="20"/>
      <c r="L420" s="20" t="str">
        <f>CONCATENATE(參考!B$1,[資料表詳細]資料表詳細表格[[#This Row],[表名]])</f>
        <v>otcs_event</v>
      </c>
      <c r="M420" s="18" t="str">
        <f>VLOOKUP([資料表詳細]資料表詳細表格[[#This Row],[屬性類型(Postgre)]],選單!$A$3:$B$20,2,FALSE)</f>
        <v>string</v>
      </c>
      <c r="N420" s="20" t="str">
        <f>CONCATENATE(參考!B$2,[資料表詳細]資料表詳細表格[[#This Row],[欄位名稱(英)]])</f>
        <v>upd_user</v>
      </c>
    </row>
    <row r="421" spans="1:14">
      <c r="A421" s="74">
        <v>421</v>
      </c>
      <c r="B421" s="33" t="s">
        <v>476</v>
      </c>
      <c r="C421" s="54" t="s">
        <v>1067</v>
      </c>
      <c r="D421" s="19">
        <v>12</v>
      </c>
      <c r="E421" s="20" t="s">
        <v>8</v>
      </c>
      <c r="F421" s="20" t="s">
        <v>9</v>
      </c>
      <c r="G421" s="20" t="s">
        <v>5</v>
      </c>
      <c r="H421" s="21"/>
      <c r="I421" s="21" t="s">
        <v>32</v>
      </c>
      <c r="J421" s="21"/>
      <c r="K421" s="20"/>
      <c r="L421" s="20" t="str">
        <f>CONCATENATE(參考!B$1,[資料表詳細]資料表詳細表格[[#This Row],[表名]])</f>
        <v>otcs_event</v>
      </c>
      <c r="M421" s="18" t="str">
        <f>VLOOKUP([資料表詳細]資料表詳細表格[[#This Row],[屬性類型(Postgre)]],選單!$A$3:$B$20,2,FALSE)</f>
        <v>DateTime</v>
      </c>
      <c r="N421" s="20" t="str">
        <f>CONCATENATE(參考!B$2,[資料表詳細]資料表詳細表格[[#This Row],[欄位名稱(英)]])</f>
        <v>upd_time</v>
      </c>
    </row>
    <row r="422" spans="1:14">
      <c r="A422" s="74">
        <v>422</v>
      </c>
      <c r="B422" s="33" t="s">
        <v>476</v>
      </c>
      <c r="C422" s="152" t="s">
        <v>1139</v>
      </c>
      <c r="D422" s="153">
        <v>1</v>
      </c>
      <c r="E422" s="154" t="s">
        <v>1121</v>
      </c>
      <c r="F422" s="154" t="s">
        <v>1145</v>
      </c>
      <c r="G422" s="132" t="s">
        <v>41</v>
      </c>
      <c r="H422" s="131">
        <v>20</v>
      </c>
      <c r="I422" s="131" t="s">
        <v>32</v>
      </c>
      <c r="J422" s="21" t="s">
        <v>26</v>
      </c>
      <c r="K422" s="154"/>
      <c r="L422" s="157" t="str">
        <f>CONCATENATE(參考!B$1,[資料表詳細]資料表詳細表格[[#This Row],[表名]])</f>
        <v>otcs_train_camera_list</v>
      </c>
      <c r="M422" s="158" t="str">
        <f>VLOOKUP([資料表詳細]資料表詳細表格[[#This Row],[屬性類型(Postgre)]],選單!$A$3:$B$20,2,FALSE)</f>
        <v>string</v>
      </c>
      <c r="N422" s="157" t="str">
        <f>CONCATENATE(參考!B$2,[資料表詳細]資料表詳細表格[[#This Row],[欄位名稱(英)]])</f>
        <v>camera_id</v>
      </c>
    </row>
    <row r="423" spans="1:14">
      <c r="A423" s="74">
        <v>423</v>
      </c>
      <c r="B423" s="33" t="s">
        <v>476</v>
      </c>
      <c r="C423" s="159" t="s">
        <v>1139</v>
      </c>
      <c r="D423" s="153">
        <v>2</v>
      </c>
      <c r="E423" s="154" t="s">
        <v>995</v>
      </c>
      <c r="F423" s="154" t="s">
        <v>1069</v>
      </c>
      <c r="G423" s="20" t="s">
        <v>0</v>
      </c>
      <c r="H423" s="21">
        <v>10</v>
      </c>
      <c r="I423" s="21" t="s">
        <v>32</v>
      </c>
      <c r="J423" s="156"/>
      <c r="K423" s="154"/>
      <c r="L423" s="157" t="str">
        <f>CONCATENATE(參考!B$1,[資料表詳細]資料表詳細表格[[#This Row],[表名]])</f>
        <v>otcs_train_camera_list</v>
      </c>
      <c r="M423" s="158" t="str">
        <f>VLOOKUP([資料表詳細]資料表詳細表格[[#This Row],[屬性類型(Postgre)]],選單!$A$3:$B$20,2,FALSE)</f>
        <v>string</v>
      </c>
      <c r="N423" s="157" t="str">
        <f>CONCATENATE(參考!B$2,[資料表詳細]資料表詳細表格[[#This Row],[欄位名稱(英)]])</f>
        <v>train_id</v>
      </c>
    </row>
    <row r="424" spans="1:14">
      <c r="A424" s="74">
        <v>424</v>
      </c>
      <c r="B424" s="33" t="s">
        <v>476</v>
      </c>
      <c r="C424" s="159" t="s">
        <v>1139</v>
      </c>
      <c r="D424" s="153">
        <v>3</v>
      </c>
      <c r="E424" s="154" t="s">
        <v>1140</v>
      </c>
      <c r="F424" s="154" t="s">
        <v>1146</v>
      </c>
      <c r="G424" s="20" t="s">
        <v>0</v>
      </c>
      <c r="H424" s="21">
        <v>10</v>
      </c>
      <c r="I424" s="21" t="s">
        <v>32</v>
      </c>
      <c r="J424" s="156"/>
      <c r="K424" s="154"/>
      <c r="L424" s="157" t="str">
        <f>CONCATENATE(參考!B$1,[資料表詳細]資料表詳細表格[[#This Row],[表名]])</f>
        <v>otcs_train_camera_list</v>
      </c>
      <c r="M424" s="158" t="str">
        <f>VLOOKUP([資料表詳細]資料表詳細表格[[#This Row],[屬性類型(Postgre)]],選單!$A$3:$B$20,2,FALSE)</f>
        <v>string</v>
      </c>
      <c r="N424" s="157" t="str">
        <f>CONCATENATE(參考!B$2,[資料表詳細]資料表詳細表格[[#This Row],[欄位名稱(英)]])</f>
        <v>train_camera_id</v>
      </c>
    </row>
    <row r="425" spans="1:14">
      <c r="A425" s="74">
        <v>425</v>
      </c>
      <c r="B425" s="33" t="s">
        <v>476</v>
      </c>
      <c r="C425" s="159" t="s">
        <v>1139</v>
      </c>
      <c r="D425" s="153">
        <v>4</v>
      </c>
      <c r="E425" s="154" t="s">
        <v>1141</v>
      </c>
      <c r="F425" s="154" t="s">
        <v>1147</v>
      </c>
      <c r="G425" s="20" t="s">
        <v>0</v>
      </c>
      <c r="H425" s="21">
        <v>10</v>
      </c>
      <c r="I425" s="21" t="s">
        <v>32</v>
      </c>
      <c r="J425" s="156"/>
      <c r="K425" s="154"/>
      <c r="L425" s="157" t="str">
        <f>CONCATENATE(參考!B$1,[資料表詳細]資料表詳細表格[[#This Row],[表名]])</f>
        <v>otcs_train_camera_list</v>
      </c>
      <c r="M425" s="158" t="str">
        <f>VLOOKUP([資料表詳細]資料表詳細表格[[#This Row],[屬性類型(Postgre)]],選單!$A$3:$B$20,2,FALSE)</f>
        <v>string</v>
      </c>
      <c r="N425" s="157" t="str">
        <f>CONCATENATE(參考!B$2,[資料表詳細]資料表詳細表格[[#This Row],[欄位名稱(英)]])</f>
        <v>car_type</v>
      </c>
    </row>
    <row r="426" spans="1:14">
      <c r="A426" s="74">
        <v>426</v>
      </c>
      <c r="B426" s="33" t="s">
        <v>476</v>
      </c>
      <c r="C426" s="159" t="s">
        <v>1139</v>
      </c>
      <c r="D426" s="153">
        <v>5</v>
      </c>
      <c r="E426" s="154" t="s">
        <v>1142</v>
      </c>
      <c r="F426" s="154" t="s">
        <v>1148</v>
      </c>
      <c r="G426" s="154" t="s">
        <v>14</v>
      </c>
      <c r="H426" s="155"/>
      <c r="I426" s="21" t="s">
        <v>34</v>
      </c>
      <c r="J426" s="156"/>
      <c r="K426" s="154"/>
      <c r="L426" s="157" t="str">
        <f>CONCATENATE(參考!B$1,[資料表詳細]資料表詳細表格[[#This Row],[表名]])</f>
        <v>otcs_train_camera_list</v>
      </c>
      <c r="M426" s="158" t="str">
        <f>VLOOKUP([資料表詳細]資料表詳細表格[[#This Row],[屬性類型(Postgre)]],選單!$A$3:$B$20,2,FALSE)</f>
        <v>string</v>
      </c>
      <c r="N426" s="157" t="str">
        <f>CONCATENATE(參考!B$2,[資料表詳細]資料表詳細表格[[#This Row],[欄位名稱(英)]])</f>
        <v>url_100</v>
      </c>
    </row>
    <row r="427" spans="1:14">
      <c r="A427" s="74">
        <v>427</v>
      </c>
      <c r="B427" s="33" t="s">
        <v>476</v>
      </c>
      <c r="C427" s="159" t="s">
        <v>1139</v>
      </c>
      <c r="D427" s="153">
        <v>6</v>
      </c>
      <c r="E427" s="154" t="s">
        <v>1143</v>
      </c>
      <c r="F427" s="154" t="s">
        <v>1149</v>
      </c>
      <c r="G427" s="154" t="s">
        <v>14</v>
      </c>
      <c r="H427" s="155"/>
      <c r="I427" s="21" t="s">
        <v>34</v>
      </c>
      <c r="J427" s="156"/>
      <c r="K427" s="154"/>
      <c r="L427" s="157" t="str">
        <f>CONCATENATE(參考!B$1,[資料表詳細]資料表詳細表格[[#This Row],[表名]])</f>
        <v>otcs_train_camera_list</v>
      </c>
      <c r="M427" s="158" t="str">
        <f>VLOOKUP([資料表詳細]資料表詳細表格[[#This Row],[屬性類型(Postgre)]],選單!$A$3:$B$20,2,FALSE)</f>
        <v>string</v>
      </c>
      <c r="N427" s="157" t="str">
        <f>CONCATENATE(參考!B$2,[資料表詳細]資料表詳細表格[[#This Row],[欄位名稱(英)]])</f>
        <v>url_300</v>
      </c>
    </row>
    <row r="428" spans="1:14">
      <c r="A428" s="74">
        <v>428</v>
      </c>
      <c r="B428" s="33" t="s">
        <v>476</v>
      </c>
      <c r="C428" s="159" t="s">
        <v>1139</v>
      </c>
      <c r="D428" s="153">
        <v>7</v>
      </c>
      <c r="E428" s="154" t="s">
        <v>1144</v>
      </c>
      <c r="F428" s="154" t="s">
        <v>1151</v>
      </c>
      <c r="G428" s="154" t="s">
        <v>130</v>
      </c>
      <c r="H428" s="155"/>
      <c r="I428" s="21" t="s">
        <v>32</v>
      </c>
      <c r="J428" s="156"/>
      <c r="K428" s="154"/>
      <c r="L428" s="157" t="str">
        <f>CONCATENATE(參考!B$1,[資料表詳細]資料表詳細表格[[#This Row],[表名]])</f>
        <v>otcs_train_camera_list</v>
      </c>
      <c r="M428" s="158" t="str">
        <f>VLOOKUP([資料表詳細]資料表詳細表格[[#This Row],[屬性類型(Postgre)]],選單!$A$3:$B$20,2,FALSE)</f>
        <v>int</v>
      </c>
      <c r="N428" s="157" t="str">
        <f>CONCATENATE(參考!B$2,[資料表詳細]資料表詳細表格[[#This Row],[欄位名稱(英)]])</f>
        <v>camera_state</v>
      </c>
    </row>
    <row r="429" spans="1:14">
      <c r="A429" s="74">
        <v>429</v>
      </c>
      <c r="B429" s="33" t="s">
        <v>476</v>
      </c>
      <c r="C429" s="159" t="s">
        <v>1139</v>
      </c>
      <c r="D429" s="153">
        <v>8</v>
      </c>
      <c r="E429" s="20" t="s">
        <v>1</v>
      </c>
      <c r="F429" s="20" t="s">
        <v>2</v>
      </c>
      <c r="G429" s="20" t="s">
        <v>41</v>
      </c>
      <c r="H429" s="21">
        <v>20</v>
      </c>
      <c r="I429" s="21" t="s">
        <v>32</v>
      </c>
      <c r="J429" s="21"/>
      <c r="K429" s="154"/>
      <c r="L429" s="157" t="str">
        <f>CONCATENATE(參考!B$1,[資料表詳細]資料表詳細表格[[#This Row],[表名]])</f>
        <v>otcs_train_camera_list</v>
      </c>
      <c r="M429" s="158" t="str">
        <f>VLOOKUP([資料表詳細]資料表詳細表格[[#This Row],[屬性類型(Postgre)]],選單!$A$3:$B$20,2,FALSE)</f>
        <v>string</v>
      </c>
      <c r="N429" s="157" t="str">
        <f>CONCATENATE(參考!B$2,[資料表詳細]資料表詳細表格[[#This Row],[欄位名稱(英)]])</f>
        <v>ins_user</v>
      </c>
    </row>
    <row r="430" spans="1:14">
      <c r="A430" s="74">
        <v>430</v>
      </c>
      <c r="B430" s="33" t="s">
        <v>476</v>
      </c>
      <c r="C430" s="159" t="s">
        <v>1139</v>
      </c>
      <c r="D430" s="153">
        <v>9</v>
      </c>
      <c r="E430" s="20" t="s">
        <v>3</v>
      </c>
      <c r="F430" s="20" t="s">
        <v>4</v>
      </c>
      <c r="G430" s="20" t="s">
        <v>5</v>
      </c>
      <c r="H430" s="21"/>
      <c r="I430" s="21" t="s">
        <v>32</v>
      </c>
      <c r="J430" s="21"/>
      <c r="K430" s="154"/>
      <c r="L430" s="157" t="str">
        <f>CONCATENATE(參考!B$1,[資料表詳細]資料表詳細表格[[#This Row],[表名]])</f>
        <v>otcs_train_camera_list</v>
      </c>
      <c r="M430" s="158" t="str">
        <f>VLOOKUP([資料表詳細]資料表詳細表格[[#This Row],[屬性類型(Postgre)]],選單!$A$3:$B$20,2,FALSE)</f>
        <v>DateTime</v>
      </c>
      <c r="N430" s="157" t="str">
        <f>CONCATENATE(參考!B$2,[資料表詳細]資料表詳細表格[[#This Row],[欄位名稱(英)]])</f>
        <v>ins_time</v>
      </c>
    </row>
    <row r="431" spans="1:14">
      <c r="A431" s="74">
        <v>431</v>
      </c>
      <c r="B431" s="33" t="s">
        <v>476</v>
      </c>
      <c r="C431" s="159" t="s">
        <v>1139</v>
      </c>
      <c r="D431" s="153">
        <v>10</v>
      </c>
      <c r="E431" s="20" t="s">
        <v>6</v>
      </c>
      <c r="F431" s="20" t="s">
        <v>7</v>
      </c>
      <c r="G431" s="20" t="s">
        <v>41</v>
      </c>
      <c r="H431" s="21">
        <v>20</v>
      </c>
      <c r="I431" s="21" t="s">
        <v>32</v>
      </c>
      <c r="J431" s="21"/>
      <c r="K431" s="154"/>
      <c r="L431" s="157" t="str">
        <f>CONCATENATE(參考!B$1,[資料表詳細]資料表詳細表格[[#This Row],[表名]])</f>
        <v>otcs_train_camera_list</v>
      </c>
      <c r="M431" s="158" t="str">
        <f>VLOOKUP([資料表詳細]資料表詳細表格[[#This Row],[屬性類型(Postgre)]],選單!$A$3:$B$20,2,FALSE)</f>
        <v>string</v>
      </c>
      <c r="N431" s="157" t="str">
        <f>CONCATENATE(參考!B$2,[資料表詳細]資料表詳細表格[[#This Row],[欄位名稱(英)]])</f>
        <v>upd_user</v>
      </c>
    </row>
    <row r="432" spans="1:14">
      <c r="A432" s="74">
        <v>432</v>
      </c>
      <c r="B432" s="33" t="s">
        <v>476</v>
      </c>
      <c r="C432" s="159" t="s">
        <v>1139</v>
      </c>
      <c r="D432" s="153">
        <v>11</v>
      </c>
      <c r="E432" s="20" t="s">
        <v>8</v>
      </c>
      <c r="F432" s="20" t="s">
        <v>9</v>
      </c>
      <c r="G432" s="20" t="s">
        <v>5</v>
      </c>
      <c r="H432" s="21"/>
      <c r="I432" s="21" t="s">
        <v>32</v>
      </c>
      <c r="J432" s="21"/>
      <c r="K432" s="154"/>
      <c r="L432" s="157" t="str">
        <f>CONCATENATE(參考!B$1,[資料表詳細]資料表詳細表格[[#This Row],[表名]])</f>
        <v>otcs_train_camera_list</v>
      </c>
      <c r="M432" s="158" t="str">
        <f>VLOOKUP([資料表詳細]資料表詳細表格[[#This Row],[屬性類型(Postgre)]],選單!$A$3:$B$20,2,FALSE)</f>
        <v>DateTime</v>
      </c>
      <c r="N432" s="157" t="str">
        <f>CONCATENATE(參考!B$2,[資料表詳細]資料表詳細表格[[#This Row],[欄位名稱(英)]])</f>
        <v>upd_time</v>
      </c>
    </row>
    <row r="433" spans="1:14">
      <c r="A433" s="74">
        <v>433</v>
      </c>
      <c r="B433" s="2" t="s">
        <v>152</v>
      </c>
      <c r="C433" s="18" t="s">
        <v>988</v>
      </c>
      <c r="D433" s="19">
        <v>1</v>
      </c>
      <c r="E433" s="20" t="s">
        <v>981</v>
      </c>
      <c r="F433" s="20" t="s">
        <v>986</v>
      </c>
      <c r="G433" s="20" t="s">
        <v>0</v>
      </c>
      <c r="H433" s="21">
        <v>5</v>
      </c>
      <c r="I433" s="21" t="s">
        <v>32</v>
      </c>
      <c r="J433" s="21" t="s">
        <v>26</v>
      </c>
      <c r="K433" s="20"/>
      <c r="L433" s="20" t="str">
        <f>CONCATENATE(參考!B$1,[資料表詳細]資料表詳細表格[[#This Row],[表名]])</f>
        <v>sync_linked_setting</v>
      </c>
      <c r="M433" s="18" t="str">
        <f>VLOOKUP([資料表詳細]資料表詳細表格[[#This Row],[屬性類型(Postgre)]],選單!$A$3:$B$20,2,FALSE)</f>
        <v>string</v>
      </c>
      <c r="N433" s="20" t="str">
        <f>CONCATENATE(參考!B$2,[資料表詳細]資料表詳細表格[[#This Row],[欄位名稱(英)]])</f>
        <v>pa_folder_id</v>
      </c>
    </row>
    <row r="434" spans="1:14">
      <c r="A434" s="74">
        <v>434</v>
      </c>
      <c r="B434" s="33" t="s">
        <v>152</v>
      </c>
      <c r="C434" s="54" t="s">
        <v>987</v>
      </c>
      <c r="D434" s="19">
        <v>2</v>
      </c>
      <c r="E434" s="20" t="s">
        <v>982</v>
      </c>
      <c r="F434" s="20" t="s">
        <v>985</v>
      </c>
      <c r="G434" s="20" t="s">
        <v>71</v>
      </c>
      <c r="H434" s="21"/>
      <c r="I434" s="21" t="s">
        <v>34</v>
      </c>
      <c r="J434" s="21"/>
      <c r="K434" s="20"/>
      <c r="L434" s="20" t="str">
        <f>CONCATENATE(參考!B$1,[資料表詳細]資料表詳細表格[[#This Row],[表名]])</f>
        <v>sync_linked_setting</v>
      </c>
      <c r="M434" s="18" t="str">
        <f>VLOOKUP([資料表詳細]資料表詳細表格[[#This Row],[屬性類型(Postgre)]],選單!$A$3:$B$20,2,FALSE)</f>
        <v>Guid</v>
      </c>
      <c r="N434" s="20" t="str">
        <f>CONCATENATE(參考!B$2,[資料表詳細]資料表詳細表格[[#This Row],[欄位名稱(英)]])</f>
        <v>dmd_message_id</v>
      </c>
    </row>
    <row r="435" spans="1:14">
      <c r="A435" s="74">
        <v>435</v>
      </c>
      <c r="B435" s="33" t="s">
        <v>152</v>
      </c>
      <c r="C435" s="54" t="s">
        <v>987</v>
      </c>
      <c r="D435" s="19">
        <v>3</v>
      </c>
      <c r="E435" s="20" t="s">
        <v>983</v>
      </c>
      <c r="F435" s="20" t="s">
        <v>984</v>
      </c>
      <c r="G435" s="20" t="s">
        <v>71</v>
      </c>
      <c r="H435" s="21"/>
      <c r="I435" s="21" t="s">
        <v>34</v>
      </c>
      <c r="J435" s="21"/>
      <c r="K435" s="20"/>
      <c r="L435" s="20" t="str">
        <f>CONCATENATE(參考!B$1,[資料表詳細]資料表詳細表格[[#This Row],[表名]])</f>
        <v>sync_linked_setting</v>
      </c>
      <c r="M435" s="18" t="str">
        <f>VLOOKUP([資料表詳細]資料表詳細表格[[#This Row],[屬性類型(Postgre)]],選單!$A$3:$B$20,2,FALSE)</f>
        <v>Guid</v>
      </c>
      <c r="N435" s="20" t="str">
        <f>CONCATENATE(參考!B$2,[資料表詳細]資料表詳細表格[[#This Row],[欄位名稱(英)]])</f>
        <v>pids_message_id</v>
      </c>
    </row>
    <row r="436" spans="1:14">
      <c r="A436" s="74">
        <v>436</v>
      </c>
      <c r="B436" s="33" t="s">
        <v>152</v>
      </c>
      <c r="C436" s="54" t="s">
        <v>987</v>
      </c>
      <c r="D436" s="19">
        <v>4</v>
      </c>
      <c r="E436" s="20" t="s">
        <v>1</v>
      </c>
      <c r="F436" s="20" t="s">
        <v>2</v>
      </c>
      <c r="G436" s="20" t="s">
        <v>0</v>
      </c>
      <c r="H436" s="21">
        <v>20</v>
      </c>
      <c r="I436" s="21" t="s">
        <v>32</v>
      </c>
      <c r="J436" s="21"/>
      <c r="K436" s="20"/>
      <c r="L436" s="20" t="str">
        <f>CONCATENATE(參考!B$1,[資料表詳細]資料表詳細表格[[#This Row],[表名]])</f>
        <v>sync_linked_setting</v>
      </c>
      <c r="M436" s="18" t="str">
        <f>VLOOKUP([資料表詳細]資料表詳細表格[[#This Row],[屬性類型(Postgre)]],選單!$A$3:$B$20,2,FALSE)</f>
        <v>string</v>
      </c>
      <c r="N436" s="20" t="str">
        <f>CONCATENATE(參考!B$2,[資料表詳細]資料表詳細表格[[#This Row],[欄位名稱(英)]])</f>
        <v>ins_user</v>
      </c>
    </row>
    <row r="437" spans="1:14">
      <c r="A437" s="74">
        <v>437</v>
      </c>
      <c r="B437" s="33" t="s">
        <v>152</v>
      </c>
      <c r="C437" s="54" t="s">
        <v>987</v>
      </c>
      <c r="D437" s="19">
        <v>5</v>
      </c>
      <c r="E437" s="20" t="s">
        <v>3</v>
      </c>
      <c r="F437" s="20" t="s">
        <v>4</v>
      </c>
      <c r="G437" s="20" t="s">
        <v>5</v>
      </c>
      <c r="H437" s="21"/>
      <c r="I437" s="21" t="s">
        <v>32</v>
      </c>
      <c r="J437" s="21"/>
      <c r="K437" s="20"/>
      <c r="L437" s="20" t="str">
        <f>CONCATENATE(參考!B$1,[資料表詳細]資料表詳細表格[[#This Row],[表名]])</f>
        <v>sync_linked_setting</v>
      </c>
      <c r="M437" s="18" t="str">
        <f>VLOOKUP([資料表詳細]資料表詳細表格[[#This Row],[屬性類型(Postgre)]],選單!$A$3:$B$20,2,FALSE)</f>
        <v>DateTime</v>
      </c>
      <c r="N437" s="20" t="str">
        <f>CONCATENATE(參考!B$2,[資料表詳細]資料表詳細表格[[#This Row],[欄位名稱(英)]])</f>
        <v>ins_time</v>
      </c>
    </row>
    <row r="438" spans="1:14">
      <c r="A438" s="74">
        <v>438</v>
      </c>
      <c r="B438" s="33" t="s">
        <v>152</v>
      </c>
      <c r="C438" s="54" t="s">
        <v>987</v>
      </c>
      <c r="D438" s="19">
        <v>6</v>
      </c>
      <c r="E438" s="20" t="s">
        <v>6</v>
      </c>
      <c r="F438" s="20" t="s">
        <v>7</v>
      </c>
      <c r="G438" s="20" t="s">
        <v>0</v>
      </c>
      <c r="H438" s="21">
        <v>20</v>
      </c>
      <c r="I438" s="21" t="s">
        <v>32</v>
      </c>
      <c r="J438" s="21"/>
      <c r="K438" s="20"/>
      <c r="L438" s="20" t="str">
        <f>CONCATENATE(參考!B$1,[資料表詳細]資料表詳細表格[[#This Row],[表名]])</f>
        <v>sync_linked_setting</v>
      </c>
      <c r="M438" s="18" t="str">
        <f>VLOOKUP([資料表詳細]資料表詳細表格[[#This Row],[屬性類型(Postgre)]],選單!$A$3:$B$20,2,FALSE)</f>
        <v>string</v>
      </c>
      <c r="N438" s="20" t="str">
        <f>CONCATENATE(參考!B$2,[資料表詳細]資料表詳細表格[[#This Row],[欄位名稱(英)]])</f>
        <v>upd_user</v>
      </c>
    </row>
    <row r="439" spans="1:14">
      <c r="A439" s="74">
        <v>439</v>
      </c>
      <c r="B439" s="33" t="s">
        <v>152</v>
      </c>
      <c r="C439" s="54" t="s">
        <v>987</v>
      </c>
      <c r="D439" s="19">
        <v>7</v>
      </c>
      <c r="E439" s="20" t="s">
        <v>8</v>
      </c>
      <c r="F439" s="20" t="s">
        <v>9</v>
      </c>
      <c r="G439" s="20" t="s">
        <v>5</v>
      </c>
      <c r="H439" s="21"/>
      <c r="I439" s="21" t="s">
        <v>32</v>
      </c>
      <c r="J439" s="21"/>
      <c r="K439" s="20"/>
      <c r="L439" s="20" t="str">
        <f>CONCATENATE(參考!B$1,[資料表詳細]資料表詳細表格[[#This Row],[表名]])</f>
        <v>sync_linked_setting</v>
      </c>
      <c r="M439" s="18" t="str">
        <f>VLOOKUP([資料表詳細]資料表詳細表格[[#This Row],[屬性類型(Postgre)]],選單!$A$3:$B$20,2,FALSE)</f>
        <v>DateTime</v>
      </c>
      <c r="N439" s="20" t="str">
        <f>CONCATENATE(參考!B$2,[資料表詳細]資料表詳細表格[[#This Row],[欄位名稱(英)]])</f>
        <v>upd_time</v>
      </c>
    </row>
    <row r="440" spans="1:14">
      <c r="A440" s="74">
        <v>440</v>
      </c>
      <c r="B440" s="20" t="s">
        <v>1152</v>
      </c>
      <c r="C440" s="20" t="s">
        <v>1138</v>
      </c>
      <c r="D440" s="19">
        <v>1</v>
      </c>
      <c r="E440" s="20" t="s">
        <v>1121</v>
      </c>
      <c r="F440" s="20" t="s">
        <v>1170</v>
      </c>
      <c r="G440" s="132" t="s">
        <v>41</v>
      </c>
      <c r="H440" s="131">
        <v>20</v>
      </c>
      <c r="I440" s="131" t="s">
        <v>32</v>
      </c>
      <c r="J440" s="21" t="s">
        <v>26</v>
      </c>
      <c r="K440" s="20"/>
      <c r="L440" s="20"/>
      <c r="M440" s="18"/>
      <c r="N440" s="20"/>
    </row>
    <row r="441" spans="1:14">
      <c r="A441" s="74">
        <v>441</v>
      </c>
      <c r="B441" s="33" t="s">
        <v>1152</v>
      </c>
      <c r="C441" s="54" t="s">
        <v>1153</v>
      </c>
      <c r="D441" s="153">
        <v>2</v>
      </c>
      <c r="E441" s="154" t="s">
        <v>1158</v>
      </c>
      <c r="F441" s="154" t="s">
        <v>800</v>
      </c>
      <c r="G441" s="132" t="s">
        <v>41</v>
      </c>
      <c r="H441" s="131">
        <v>10</v>
      </c>
      <c r="I441" s="21" t="s">
        <v>32</v>
      </c>
      <c r="J441" s="156"/>
      <c r="K441" s="154"/>
      <c r="L441" s="157" t="str">
        <f>CONCATENATE(參考!B$1,[資料表詳細]資料表詳細表格[[#This Row],[表名]])</f>
        <v>cctv_station_camera_list</v>
      </c>
      <c r="M441" s="158" t="str">
        <f>VLOOKUP([資料表詳細]資料表詳細表格[[#This Row],[屬性類型(Postgre)]],選單!$A$3:$B$20,2,FALSE)</f>
        <v>string</v>
      </c>
      <c r="N441" s="157" t="str">
        <f>CONCATENATE(參考!B$2,[資料表詳細]資料表詳細表格[[#This Row],[欄位名稱(英)]])</f>
        <v>region_id</v>
      </c>
    </row>
    <row r="442" spans="1:14">
      <c r="A442" s="74">
        <v>442</v>
      </c>
      <c r="B442" s="33" t="s">
        <v>1152</v>
      </c>
      <c r="C442" s="54" t="s">
        <v>1153</v>
      </c>
      <c r="D442" s="19">
        <v>3</v>
      </c>
      <c r="E442" s="154" t="s">
        <v>1159</v>
      </c>
      <c r="F442" s="154" t="s">
        <v>781</v>
      </c>
      <c r="G442" s="132" t="s">
        <v>41</v>
      </c>
      <c r="H442" s="131">
        <v>20</v>
      </c>
      <c r="I442" s="21" t="s">
        <v>32</v>
      </c>
      <c r="J442" s="156"/>
      <c r="K442" s="154"/>
      <c r="L442" s="157" t="str">
        <f>CONCATENATE(參考!B$1,[資料表詳細]資料表詳細表格[[#This Row],[表名]])</f>
        <v>cctv_station_camera_list</v>
      </c>
      <c r="M442" s="158" t="str">
        <f>VLOOKUP([資料表詳細]資料表詳細表格[[#This Row],[屬性類型(Postgre)]],選單!$A$3:$B$20,2,FALSE)</f>
        <v>string</v>
      </c>
      <c r="N442" s="157" t="str">
        <f>CONCATENATE(參考!B$2,[資料表詳細]資料表詳細表格[[#This Row],[欄位名稱(英)]])</f>
        <v>region_name</v>
      </c>
    </row>
    <row r="443" spans="1:14">
      <c r="A443" s="74">
        <v>443</v>
      </c>
      <c r="B443" s="33" t="s">
        <v>1152</v>
      </c>
      <c r="C443" s="54" t="s">
        <v>1153</v>
      </c>
      <c r="D443" s="153">
        <v>4</v>
      </c>
      <c r="E443" s="154" t="s">
        <v>1160</v>
      </c>
      <c r="F443" s="154" t="s">
        <v>932</v>
      </c>
      <c r="G443" s="132" t="s">
        <v>41</v>
      </c>
      <c r="H443" s="131">
        <v>20</v>
      </c>
      <c r="I443" s="21" t="s">
        <v>32</v>
      </c>
      <c r="J443" s="156"/>
      <c r="K443" s="154"/>
      <c r="L443" s="157" t="str">
        <f>CONCATENATE(參考!B$1,[資料表詳細]資料表詳細表格[[#This Row],[表名]])</f>
        <v>cctv_station_camera_list</v>
      </c>
      <c r="M443" s="158" t="str">
        <f>VLOOKUP([資料表詳細]資料表詳細表格[[#This Row],[屬性類型(Postgre)]],選單!$A$3:$B$20,2,FALSE)</f>
        <v>string</v>
      </c>
      <c r="N443" s="157" t="str">
        <f>CONCATENATE(參考!B$2,[資料表詳細]資料表詳細表格[[#This Row],[欄位名稱(英)]])</f>
        <v>place_name</v>
      </c>
    </row>
    <row r="444" spans="1:14">
      <c r="A444" s="74">
        <v>444</v>
      </c>
      <c r="B444" s="33" t="s">
        <v>1152</v>
      </c>
      <c r="C444" s="54" t="s">
        <v>1153</v>
      </c>
      <c r="D444" s="19">
        <v>5</v>
      </c>
      <c r="E444" s="154" t="s">
        <v>1161</v>
      </c>
      <c r="F444" s="154" t="s">
        <v>230</v>
      </c>
      <c r="G444" s="132" t="s">
        <v>41</v>
      </c>
      <c r="H444" s="131">
        <v>20</v>
      </c>
      <c r="I444" s="156" t="s">
        <v>32</v>
      </c>
      <c r="J444" s="156"/>
      <c r="K444" s="154"/>
      <c r="L444" s="157" t="str">
        <f>CONCATENATE(參考!B$1,[資料表詳細]資料表詳細表格[[#This Row],[表名]])</f>
        <v>cctv_station_camera_list</v>
      </c>
      <c r="M444" s="158" t="str">
        <f>VLOOKUP([資料表詳細]資料表詳細表格[[#This Row],[屬性類型(Postgre)]],選單!$A$3:$B$20,2,FALSE)</f>
        <v>string</v>
      </c>
      <c r="N444" s="157" t="str">
        <f>CONCATENATE(參考!B$2,[資料表詳細]資料表詳細表格[[#This Row],[欄位名稱(英)]])</f>
        <v>area_name</v>
      </c>
    </row>
    <row r="445" spans="1:14">
      <c r="A445" s="74">
        <v>445</v>
      </c>
      <c r="B445" s="33" t="s">
        <v>1152</v>
      </c>
      <c r="C445" s="54" t="s">
        <v>1153</v>
      </c>
      <c r="D445" s="153">
        <v>6</v>
      </c>
      <c r="E445" s="154" t="s">
        <v>1142</v>
      </c>
      <c r="F445" s="154" t="s">
        <v>1148</v>
      </c>
      <c r="G445" s="154" t="s">
        <v>14</v>
      </c>
      <c r="H445" s="155"/>
      <c r="I445" s="21" t="s">
        <v>34</v>
      </c>
      <c r="J445" s="156"/>
      <c r="K445" s="154"/>
      <c r="L445" s="157" t="str">
        <f>CONCATENATE(參考!B$1,[資料表詳細]資料表詳細表格[[#This Row],[表名]])</f>
        <v>cctv_station_camera_list</v>
      </c>
      <c r="M445" s="158" t="str">
        <f>VLOOKUP([資料表詳細]資料表詳細表格[[#This Row],[屬性類型(Postgre)]],選單!$A$3:$B$20,2,FALSE)</f>
        <v>string</v>
      </c>
      <c r="N445" s="157" t="str">
        <f>CONCATENATE(參考!B$2,[資料表詳細]資料表詳細表格[[#This Row],[欄位名稱(英)]])</f>
        <v>url_100</v>
      </c>
    </row>
    <row r="446" spans="1:14">
      <c r="A446" s="74">
        <v>446</v>
      </c>
      <c r="B446" s="33" t="s">
        <v>1152</v>
      </c>
      <c r="C446" s="54" t="s">
        <v>1153</v>
      </c>
      <c r="D446" s="19">
        <v>7</v>
      </c>
      <c r="E446" s="154" t="s">
        <v>1143</v>
      </c>
      <c r="F446" s="154" t="s">
        <v>1149</v>
      </c>
      <c r="G446" s="154" t="s">
        <v>14</v>
      </c>
      <c r="H446" s="155"/>
      <c r="I446" s="21" t="s">
        <v>34</v>
      </c>
      <c r="J446" s="156"/>
      <c r="K446" s="154"/>
      <c r="L446" s="157" t="str">
        <f>CONCATENATE(參考!B$1,[資料表詳細]資料表詳細表格[[#This Row],[表名]])</f>
        <v>cctv_station_camera_list</v>
      </c>
      <c r="M446" s="158" t="str">
        <f>VLOOKUP([資料表詳細]資料表詳細表格[[#This Row],[屬性類型(Postgre)]],選單!$A$3:$B$20,2,FALSE)</f>
        <v>string</v>
      </c>
      <c r="N446" s="157" t="str">
        <f>CONCATENATE(參考!B$2,[資料表詳細]資料表詳細表格[[#This Row],[欄位名稱(英)]])</f>
        <v>url_300</v>
      </c>
    </row>
    <row r="447" spans="1:14">
      <c r="A447" s="74">
        <v>447</v>
      </c>
      <c r="B447" s="33" t="s">
        <v>1152</v>
      </c>
      <c r="C447" s="54" t="s">
        <v>1153</v>
      </c>
      <c r="D447" s="153">
        <v>8</v>
      </c>
      <c r="E447" s="154" t="s">
        <v>1144</v>
      </c>
      <c r="F447" s="154" t="s">
        <v>1150</v>
      </c>
      <c r="G447" s="154" t="s">
        <v>130</v>
      </c>
      <c r="H447" s="155"/>
      <c r="I447" s="21" t="s">
        <v>32</v>
      </c>
      <c r="J447" s="156"/>
      <c r="K447" s="154"/>
      <c r="L447" s="157" t="str">
        <f>CONCATENATE(參考!B$1,[資料表詳細]資料表詳細表格[[#This Row],[表名]])</f>
        <v>cctv_station_camera_list</v>
      </c>
      <c r="M447" s="158" t="str">
        <f>VLOOKUP([資料表詳細]資料表詳細表格[[#This Row],[屬性類型(Postgre)]],選單!$A$3:$B$20,2,FALSE)</f>
        <v>int</v>
      </c>
      <c r="N447" s="157" t="str">
        <f>CONCATENATE(參考!B$2,[資料表詳細]資料表詳細表格[[#This Row],[欄位名稱(英)]])</f>
        <v>camera_state</v>
      </c>
    </row>
    <row r="448" spans="1:14">
      <c r="A448" s="74">
        <v>448</v>
      </c>
      <c r="B448" s="33" t="s">
        <v>1152</v>
      </c>
      <c r="C448" s="54" t="s">
        <v>1153</v>
      </c>
      <c r="D448" s="19">
        <v>9</v>
      </c>
      <c r="E448" s="20" t="s">
        <v>1</v>
      </c>
      <c r="F448" s="20" t="s">
        <v>2</v>
      </c>
      <c r="G448" s="20" t="s">
        <v>0</v>
      </c>
      <c r="H448" s="21">
        <v>20</v>
      </c>
      <c r="I448" s="21" t="s">
        <v>32</v>
      </c>
      <c r="J448" s="156"/>
      <c r="K448" s="154"/>
      <c r="L448" s="157" t="str">
        <f>CONCATENATE(參考!B$1,[資料表詳細]資料表詳細表格[[#This Row],[表名]])</f>
        <v>cctv_station_camera_list</v>
      </c>
      <c r="M448" s="158" t="str">
        <f>VLOOKUP([資料表詳細]資料表詳細表格[[#This Row],[屬性類型(Postgre)]],選單!$A$3:$B$20,2,FALSE)</f>
        <v>string</v>
      </c>
      <c r="N448" s="157" t="str">
        <f>CONCATENATE(參考!B$2,[資料表詳細]資料表詳細表格[[#This Row],[欄位名稱(英)]])</f>
        <v>ins_user</v>
      </c>
    </row>
    <row r="449" spans="1:14">
      <c r="A449" s="74">
        <v>449</v>
      </c>
      <c r="B449" s="33" t="s">
        <v>1152</v>
      </c>
      <c r="C449" s="54" t="s">
        <v>1153</v>
      </c>
      <c r="D449" s="153">
        <v>10</v>
      </c>
      <c r="E449" s="20" t="s">
        <v>3</v>
      </c>
      <c r="F449" s="20" t="s">
        <v>4</v>
      </c>
      <c r="G449" s="20" t="s">
        <v>5</v>
      </c>
      <c r="H449" s="21"/>
      <c r="I449" s="21" t="s">
        <v>32</v>
      </c>
      <c r="J449" s="156"/>
      <c r="K449" s="154"/>
      <c r="L449" s="157" t="str">
        <f>CONCATENATE(參考!B$1,[資料表詳細]資料表詳細表格[[#This Row],[表名]])</f>
        <v>cctv_station_camera_list</v>
      </c>
      <c r="M449" s="158" t="str">
        <f>VLOOKUP([資料表詳細]資料表詳細表格[[#This Row],[屬性類型(Postgre)]],選單!$A$3:$B$20,2,FALSE)</f>
        <v>DateTime</v>
      </c>
      <c r="N449" s="157" t="str">
        <f>CONCATENATE(參考!B$2,[資料表詳細]資料表詳細表格[[#This Row],[欄位名稱(英)]])</f>
        <v>ins_time</v>
      </c>
    </row>
    <row r="450" spans="1:14">
      <c r="A450" s="74">
        <v>450</v>
      </c>
      <c r="B450" s="33" t="s">
        <v>1152</v>
      </c>
      <c r="C450" s="54" t="s">
        <v>1153</v>
      </c>
      <c r="D450" s="19">
        <v>11</v>
      </c>
      <c r="E450" s="20" t="s">
        <v>6</v>
      </c>
      <c r="F450" s="20" t="s">
        <v>7</v>
      </c>
      <c r="G450" s="20" t="s">
        <v>0</v>
      </c>
      <c r="H450" s="21">
        <v>20</v>
      </c>
      <c r="I450" s="21" t="s">
        <v>32</v>
      </c>
      <c r="J450" s="156"/>
      <c r="K450" s="154"/>
      <c r="L450" s="157" t="str">
        <f>CONCATENATE(參考!B$1,[資料表詳細]資料表詳細表格[[#This Row],[表名]])</f>
        <v>cctv_station_camera_list</v>
      </c>
      <c r="M450" s="158" t="str">
        <f>VLOOKUP([資料表詳細]資料表詳細表格[[#This Row],[屬性類型(Postgre)]],選單!$A$3:$B$20,2,FALSE)</f>
        <v>string</v>
      </c>
      <c r="N450" s="157" t="str">
        <f>CONCATENATE(參考!B$2,[資料表詳細]資料表詳細表格[[#This Row],[欄位名稱(英)]])</f>
        <v>upd_user</v>
      </c>
    </row>
    <row r="451" spans="1:14">
      <c r="A451" s="74">
        <v>451</v>
      </c>
      <c r="B451" s="33" t="s">
        <v>1152</v>
      </c>
      <c r="C451" s="54" t="s">
        <v>1153</v>
      </c>
      <c r="D451" s="153">
        <v>12</v>
      </c>
      <c r="E451" s="20" t="s">
        <v>8</v>
      </c>
      <c r="F451" s="20" t="s">
        <v>9</v>
      </c>
      <c r="G451" s="20" t="s">
        <v>5</v>
      </c>
      <c r="H451" s="21"/>
      <c r="I451" s="21" t="s">
        <v>32</v>
      </c>
      <c r="J451" s="156"/>
      <c r="K451" s="154"/>
      <c r="L451" s="157" t="str">
        <f>CONCATENATE(參考!B$1,[資料表詳細]資料表詳細表格[[#This Row],[表名]])</f>
        <v>cctv_station_camera_list</v>
      </c>
      <c r="M451" s="158" t="str">
        <f>VLOOKUP([資料表詳細]資料表詳細表格[[#This Row],[屬性類型(Postgre)]],選單!$A$3:$B$20,2,FALSE)</f>
        <v>DateTime</v>
      </c>
      <c r="N451" s="157" t="str">
        <f>CONCATENATE(參考!B$2,[資料表詳細]資料表詳細表格[[#This Row],[欄位名稱(英)]])</f>
        <v>upd_time</v>
      </c>
    </row>
    <row r="452" spans="1:14">
      <c r="A452" s="74">
        <v>452</v>
      </c>
      <c r="B452" s="33" t="s">
        <v>1152</v>
      </c>
      <c r="C452" s="152" t="s">
        <v>1154</v>
      </c>
      <c r="D452" s="153">
        <v>1</v>
      </c>
      <c r="E452" s="154" t="s">
        <v>1169</v>
      </c>
      <c r="F452" s="154" t="s">
        <v>1168</v>
      </c>
      <c r="G452" s="132" t="s">
        <v>41</v>
      </c>
      <c r="H452" s="155">
        <v>20</v>
      </c>
      <c r="I452" s="156" t="s">
        <v>32</v>
      </c>
      <c r="J452" s="156" t="s">
        <v>1166</v>
      </c>
      <c r="K452" s="154"/>
      <c r="L452" s="157" t="str">
        <f>CONCATENATE(參考!B$1,[資料表詳細]資料表詳細表格[[#This Row],[表名]])</f>
        <v>cctv_tvwallscreen_setting</v>
      </c>
      <c r="M452" s="158" t="str">
        <f>VLOOKUP([資料表詳細]資料表詳細表格[[#This Row],[屬性類型(Postgre)]],選單!$A$3:$B$20,2,FALSE)</f>
        <v>string</v>
      </c>
      <c r="N452" s="157" t="str">
        <f>CONCATENATE(參考!B$2,[資料表詳細]資料表詳細表格[[#This Row],[欄位名稱(英)]])</f>
        <v>setting_id</v>
      </c>
    </row>
    <row r="453" spans="1:14">
      <c r="A453" s="74">
        <v>453</v>
      </c>
      <c r="B453" s="33" t="s">
        <v>1152</v>
      </c>
      <c r="C453" s="159" t="s">
        <v>1154</v>
      </c>
      <c r="D453" s="153">
        <v>2</v>
      </c>
      <c r="E453" s="154" t="s">
        <v>1162</v>
      </c>
      <c r="F453" s="154" t="s">
        <v>1175</v>
      </c>
      <c r="G453" s="132" t="s">
        <v>41</v>
      </c>
      <c r="H453" s="131">
        <v>20</v>
      </c>
      <c r="I453" s="131" t="s">
        <v>32</v>
      </c>
      <c r="J453" s="21"/>
      <c r="K453" s="154"/>
      <c r="L453" s="157" t="str">
        <f>CONCATENATE(參考!B$1,[資料表詳細]資料表詳細表格[[#This Row],[表名]])</f>
        <v>cctv_tvwallscreen_setting</v>
      </c>
      <c r="M453" s="158" t="str">
        <f>VLOOKUP([資料表詳細]資料表詳細表格[[#This Row],[屬性類型(Postgre)]],選單!$A$3:$B$20,2,FALSE)</f>
        <v>string</v>
      </c>
      <c r="N453" s="157" t="str">
        <f>CONCATENATE(參考!B$2,[資料表詳細]資料表詳細表格[[#This Row],[欄位名稱(英)]])</f>
        <v>screen_id</v>
      </c>
    </row>
    <row r="454" spans="1:14">
      <c r="A454" s="74">
        <v>454</v>
      </c>
      <c r="B454" s="33" t="s">
        <v>1152</v>
      </c>
      <c r="C454" s="159" t="s">
        <v>1154</v>
      </c>
      <c r="D454" s="153">
        <v>3</v>
      </c>
      <c r="E454" s="154" t="s">
        <v>1163</v>
      </c>
      <c r="F454" s="154" t="s">
        <v>1157</v>
      </c>
      <c r="G454" s="154" t="s">
        <v>1167</v>
      </c>
      <c r="H454" s="155"/>
      <c r="I454" s="21" t="s">
        <v>32</v>
      </c>
      <c r="J454" s="156"/>
      <c r="K454" s="154"/>
      <c r="L454" s="157" t="str">
        <f>CONCATENATE(參考!B$1,[資料表詳細]資料表詳細表格[[#This Row],[表名]])</f>
        <v>cctv_tvwallscreen_setting</v>
      </c>
      <c r="M454" s="158" t="str">
        <f>VLOOKUP([資料表詳細]資料表詳細表格[[#This Row],[屬性類型(Postgre)]],選單!$A$3:$B$20,2,FALSE)</f>
        <v>int</v>
      </c>
      <c r="N454" s="157" t="str">
        <f>CONCATENATE(參考!B$2,[資料表詳細]資料表詳細表格[[#This Row],[欄位名稱(英)]])</f>
        <v>interval</v>
      </c>
    </row>
    <row r="455" spans="1:14">
      <c r="A455" s="74">
        <v>455</v>
      </c>
      <c r="B455" s="33" t="s">
        <v>1152</v>
      </c>
      <c r="C455" s="159" t="s">
        <v>1154</v>
      </c>
      <c r="D455" s="153">
        <v>4</v>
      </c>
      <c r="E455" s="154" t="s">
        <v>1164</v>
      </c>
      <c r="F455" s="154" t="s">
        <v>1171</v>
      </c>
      <c r="G455" s="154" t="s">
        <v>30</v>
      </c>
      <c r="H455" s="131"/>
      <c r="I455" s="21" t="s">
        <v>32</v>
      </c>
      <c r="J455" s="156"/>
      <c r="K455" s="154"/>
      <c r="L455" s="157" t="str">
        <f>CONCATENATE(參考!B$1,[資料表詳細]資料表詳細表格[[#This Row],[表名]])</f>
        <v>cctv_tvwallscreen_setting</v>
      </c>
      <c r="M455" s="158" t="str">
        <f>VLOOKUP([資料表詳細]資料表詳細表格[[#This Row],[屬性類型(Postgre)]],選單!$A$3:$B$20,2,FALSE)</f>
        <v>int</v>
      </c>
      <c r="N455" s="157" t="str">
        <f>CONCATENATE(參考!B$2,[資料表詳細]資料表詳細表格[[#This Row],[欄位名稱(英)]])</f>
        <v>layout1</v>
      </c>
    </row>
    <row r="456" spans="1:14">
      <c r="A456" s="74">
        <v>456</v>
      </c>
      <c r="B456" s="33" t="s">
        <v>1152</v>
      </c>
      <c r="C456" s="159" t="s">
        <v>1154</v>
      </c>
      <c r="D456" s="153">
        <v>5</v>
      </c>
      <c r="E456" s="154" t="s">
        <v>1155</v>
      </c>
      <c r="F456" s="154" t="s">
        <v>1176</v>
      </c>
      <c r="G456" s="154" t="s">
        <v>30</v>
      </c>
      <c r="H456" s="131"/>
      <c r="I456" s="21" t="s">
        <v>32</v>
      </c>
      <c r="J456" s="156"/>
      <c r="K456" s="154"/>
      <c r="L456" s="157" t="str">
        <f>CONCATENATE(參考!B$1,[資料表詳細]資料表詳細表格[[#This Row],[表名]])</f>
        <v>cctv_tvwallscreen_setting</v>
      </c>
      <c r="M456" s="158" t="str">
        <f>VLOOKUP([資料表詳細]資料表詳細表格[[#This Row],[屬性類型(Postgre)]],選單!$A$3:$B$20,2,FALSE)</f>
        <v>int</v>
      </c>
      <c r="N456" s="157" t="str">
        <f>CONCATENATE(參考!B$2,[資料表詳細]資料表詳細表格[[#This Row],[欄位名稱(英)]])</f>
        <v>layout2</v>
      </c>
    </row>
    <row r="457" spans="1:14">
      <c r="A457" s="74">
        <v>457</v>
      </c>
      <c r="B457" s="33" t="s">
        <v>1152</v>
      </c>
      <c r="C457" s="159" t="s">
        <v>1154</v>
      </c>
      <c r="D457" s="153">
        <v>6</v>
      </c>
      <c r="E457" s="154" t="s">
        <v>1165</v>
      </c>
      <c r="F457" s="154" t="s">
        <v>1173</v>
      </c>
      <c r="G457" s="154" t="s">
        <v>14</v>
      </c>
      <c r="H457" s="155"/>
      <c r="I457" s="21" t="s">
        <v>34</v>
      </c>
      <c r="J457" s="156"/>
      <c r="K457" s="154"/>
      <c r="L457" s="157" t="str">
        <f>CONCATENATE(參考!B$1,[資料表詳細]資料表詳細表格[[#This Row],[表名]])</f>
        <v>cctv_tvwallscreen_setting</v>
      </c>
      <c r="M457" s="158" t="str">
        <f>VLOOKUP([資料表詳細]資料表詳細表格[[#This Row],[屬性類型(Postgre)]],選單!$A$3:$B$20,2,FALSE)</f>
        <v>string</v>
      </c>
      <c r="N457" s="157" t="str">
        <f>CONCATENATE(參考!B$2,[資料表詳細]資料表詳細表格[[#This Row],[欄位名稱(英)]])</f>
        <v>layout1_camera_ids</v>
      </c>
    </row>
    <row r="458" spans="1:14">
      <c r="A458" s="74">
        <v>458</v>
      </c>
      <c r="B458" s="33" t="s">
        <v>1152</v>
      </c>
      <c r="C458" s="159" t="s">
        <v>1154</v>
      </c>
      <c r="D458" s="153">
        <v>7</v>
      </c>
      <c r="E458" s="154" t="s">
        <v>1156</v>
      </c>
      <c r="F458" s="154" t="s">
        <v>1174</v>
      </c>
      <c r="G458" s="154" t="s">
        <v>14</v>
      </c>
      <c r="H458" s="155"/>
      <c r="I458" s="21" t="s">
        <v>34</v>
      </c>
      <c r="J458" s="156"/>
      <c r="K458" s="154"/>
      <c r="L458" s="157" t="str">
        <f>CONCATENATE(參考!B$1,[資料表詳細]資料表詳細表格[[#This Row],[表名]])</f>
        <v>cctv_tvwallscreen_setting</v>
      </c>
      <c r="M458" s="158" t="str">
        <f>VLOOKUP([資料表詳細]資料表詳細表格[[#This Row],[屬性類型(Postgre)]],選單!$A$3:$B$20,2,FALSE)</f>
        <v>string</v>
      </c>
      <c r="N458" s="157" t="str">
        <f>CONCATENATE(參考!B$2,[資料表詳細]資料表詳細表格[[#This Row],[欄位名稱(英)]])</f>
        <v>layout2_camera_ids</v>
      </c>
    </row>
    <row r="459" spans="1:14">
      <c r="A459" s="74">
        <v>459</v>
      </c>
      <c r="B459" s="33" t="s">
        <v>1152</v>
      </c>
      <c r="C459" s="159" t="s">
        <v>1154</v>
      </c>
      <c r="D459" s="153">
        <v>8</v>
      </c>
      <c r="E459" s="20" t="s">
        <v>1</v>
      </c>
      <c r="F459" s="20" t="s">
        <v>122</v>
      </c>
      <c r="G459" s="20" t="s">
        <v>0</v>
      </c>
      <c r="H459" s="21">
        <v>20</v>
      </c>
      <c r="I459" s="21" t="s">
        <v>32</v>
      </c>
      <c r="J459" s="156"/>
      <c r="K459" s="154"/>
      <c r="L459" s="157" t="str">
        <f>CONCATENATE(參考!B$1,[資料表詳細]資料表詳細表格[[#This Row],[表名]])</f>
        <v>cctv_tvwallscreen_setting</v>
      </c>
      <c r="M459" s="158" t="str">
        <f>VLOOKUP([資料表詳細]資料表詳細表格[[#This Row],[屬性類型(Postgre)]],選單!$A$3:$B$20,2,FALSE)</f>
        <v>string</v>
      </c>
      <c r="N459" s="157" t="str">
        <f>CONCATENATE(參考!B$2,[資料表詳細]資料表詳細表格[[#This Row],[欄位名稱(英)]])</f>
        <v>ins_user</v>
      </c>
    </row>
    <row r="460" spans="1:14">
      <c r="A460" s="74">
        <v>460</v>
      </c>
      <c r="B460" s="33" t="s">
        <v>1152</v>
      </c>
      <c r="C460" s="159" t="s">
        <v>1154</v>
      </c>
      <c r="D460" s="153">
        <v>9</v>
      </c>
      <c r="E460" s="20" t="s">
        <v>3</v>
      </c>
      <c r="F460" s="20" t="s">
        <v>4</v>
      </c>
      <c r="G460" s="20" t="s">
        <v>5</v>
      </c>
      <c r="H460" s="21"/>
      <c r="I460" s="21" t="s">
        <v>32</v>
      </c>
      <c r="J460" s="156"/>
      <c r="K460" s="154"/>
      <c r="L460" s="157" t="str">
        <f>CONCATENATE(參考!B$1,[資料表詳細]資料表詳細表格[[#This Row],[表名]])</f>
        <v>cctv_tvwallscreen_setting</v>
      </c>
      <c r="M460" s="158" t="str">
        <f>VLOOKUP([資料表詳細]資料表詳細表格[[#This Row],[屬性類型(Postgre)]],選單!$A$3:$B$20,2,FALSE)</f>
        <v>DateTime</v>
      </c>
      <c r="N460" s="157" t="str">
        <f>CONCATENATE(參考!B$2,[資料表詳細]資料表詳細表格[[#This Row],[欄位名稱(英)]])</f>
        <v>ins_time</v>
      </c>
    </row>
    <row r="461" spans="1:14">
      <c r="A461" s="74">
        <v>461</v>
      </c>
      <c r="B461" s="33" t="s">
        <v>1152</v>
      </c>
      <c r="C461" s="159" t="s">
        <v>1154</v>
      </c>
      <c r="D461" s="153">
        <v>10</v>
      </c>
      <c r="E461" s="20" t="s">
        <v>6</v>
      </c>
      <c r="F461" s="20" t="s">
        <v>7</v>
      </c>
      <c r="G461" s="20" t="s">
        <v>0</v>
      </c>
      <c r="H461" s="21">
        <v>20</v>
      </c>
      <c r="I461" s="21" t="s">
        <v>32</v>
      </c>
      <c r="J461" s="156"/>
      <c r="K461" s="154"/>
      <c r="L461" s="157" t="str">
        <f>CONCATENATE(參考!B$1,[資料表詳細]資料表詳細表格[[#This Row],[表名]])</f>
        <v>cctv_tvwallscreen_setting</v>
      </c>
      <c r="M461" s="158" t="str">
        <f>VLOOKUP([資料表詳細]資料表詳細表格[[#This Row],[屬性類型(Postgre)]],選單!$A$3:$B$20,2,FALSE)</f>
        <v>string</v>
      </c>
      <c r="N461" s="157" t="str">
        <f>CONCATENATE(參考!B$2,[資料表詳細]資料表詳細表格[[#This Row],[欄位名稱(英)]])</f>
        <v>upd_user</v>
      </c>
    </row>
    <row r="462" spans="1:14">
      <c r="A462" s="74">
        <v>462</v>
      </c>
      <c r="B462" s="33" t="s">
        <v>1152</v>
      </c>
      <c r="C462" s="159" t="s">
        <v>1154</v>
      </c>
      <c r="D462" s="153">
        <v>11</v>
      </c>
      <c r="E462" s="20" t="s">
        <v>8</v>
      </c>
      <c r="F462" s="20" t="s">
        <v>9</v>
      </c>
      <c r="G462" s="20" t="s">
        <v>5</v>
      </c>
      <c r="H462" s="21"/>
      <c r="I462" s="21" t="s">
        <v>32</v>
      </c>
      <c r="J462" s="156"/>
      <c r="K462" s="154"/>
      <c r="L462" s="157" t="str">
        <f>CONCATENATE(參考!B$1,[資料表詳細]資料表詳細表格[[#This Row],[表名]])</f>
        <v>cctv_tvwallscreen_setting</v>
      </c>
      <c r="M462" s="158" t="str">
        <f>VLOOKUP([資料表詳細]資料表詳細表格[[#This Row],[屬性類型(Postgre)]],選單!$A$3:$B$20,2,FALSE)</f>
        <v>DateTime</v>
      </c>
      <c r="N462" s="157" t="str">
        <f>CONCATENATE(參考!B$2,[資料表詳細]資料表詳細表格[[#This Row],[欄位名稱(英)]])</f>
        <v>upd_time</v>
      </c>
    </row>
    <row r="463" spans="1:14">
      <c r="A463" s="150"/>
      <c r="B463" s="151"/>
      <c r="C463" s="152"/>
      <c r="D463" s="153"/>
      <c r="E463" s="154"/>
      <c r="F463" s="154"/>
      <c r="G463" s="154"/>
      <c r="H463" s="155"/>
      <c r="I463" s="156"/>
      <c r="J463" s="156"/>
      <c r="K463" s="154"/>
      <c r="L463" s="157" t="str">
        <f>CONCATENATE(參考!B$1,[資料表詳細]資料表詳細表格[[#This Row],[表名]])</f>
        <v/>
      </c>
      <c r="M463" s="158" t="e">
        <f>VLOOKUP([資料表詳細]資料表詳細表格[[#This Row],[屬性類型(Postgre)]],選單!$A$3:$B$20,2,FALSE)</f>
        <v>#N/A</v>
      </c>
      <c r="N463" s="157" t="str">
        <f>CONCATENATE(參考!B$2,[資料表詳細]資料表詳細表格[[#This Row],[欄位名稱(英)]])</f>
        <v/>
      </c>
    </row>
    <row r="464" spans="1:14">
      <c r="A464" s="74"/>
      <c r="B464" s="18"/>
      <c r="C464" s="18"/>
      <c r="D464" s="19"/>
      <c r="E464" s="20"/>
      <c r="F464" s="20"/>
      <c r="G464" s="20"/>
      <c r="H464" s="21"/>
      <c r="I464" s="21"/>
      <c r="J464" s="21"/>
      <c r="K464" s="20"/>
      <c r="L464" s="20"/>
      <c r="M464" s="18"/>
      <c r="N464" s="20"/>
    </row>
  </sheetData>
  <protectedRanges>
    <protectedRange sqref="C4:K4 D7 D10" name="範圍1_1"/>
  </protectedRanges>
  <mergeCells count="3">
    <mergeCell ref="L2:N2"/>
    <mergeCell ref="A2:K2"/>
    <mergeCell ref="A1:K1"/>
  </mergeCells>
  <phoneticPr fontId="1" type="noConversion"/>
  <dataValidations count="3">
    <dataValidation type="list" allowBlank="1" showInputMessage="1" showErrorMessage="1" sqref="J370:J375 J377:J381 J4:J79 J400 J81:J368 J391:J392 J440 J410:J434 J453" xr:uid="{00000000-0002-0000-0100-000000000000}">
      <formula1>選單_鍵值設定</formula1>
    </dataValidation>
    <dataValidation type="list" allowBlank="1" showInputMessage="1" showErrorMessage="1" sqref="I4:I463" xr:uid="{00000000-0002-0000-0100-000001000000}">
      <formula1>選單_空值</formula1>
    </dataValidation>
    <dataValidation type="list" allowBlank="1" showInputMessage="1" showErrorMessage="1" sqref="G4:G463" xr:uid="{00000000-0002-0000-0100-000002000000}">
      <formula1>選單_屬性類型_Postgre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3000000}">
          <x14:formula1>
            <xm:f>選單!$R$3:$R$10</xm:f>
          </x14:formula1>
          <xm:sqref>B464 B4:B432</xm:sqref>
        </x14:dataValidation>
        <x14:dataValidation type="list" allowBlank="1" showInputMessage="1" showErrorMessage="1" xr:uid="{00000000-0002-0000-0100-000004000000}">
          <x14:formula1>
            <xm:f>選單!$R$3:$R$11</xm:f>
          </x14:formula1>
          <xm:sqref>B433:B463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rgb="FFFFFF00"/>
  </sheetPr>
  <dimension ref="A1:BZ76"/>
  <sheetViews>
    <sheetView topLeftCell="K1" zoomScaleNormal="100" workbookViewId="0">
      <selection activeCell="V14" sqref="V14"/>
    </sheetView>
  </sheetViews>
  <sheetFormatPr defaultColWidth="8.875" defaultRowHeight="15.75"/>
  <cols>
    <col min="1" max="1" width="31.625" style="9" bestFit="1" customWidth="1"/>
    <col min="2" max="2" width="10.875" style="9" bestFit="1" customWidth="1"/>
    <col min="3" max="3" width="9.75" style="9" bestFit="1" customWidth="1"/>
    <col min="4" max="4" width="5.75" style="9" bestFit="1" customWidth="1"/>
    <col min="5" max="5" width="6" style="9" bestFit="1" customWidth="1"/>
    <col min="6" max="6" width="5.125" style="9" customWidth="1"/>
    <col min="7" max="7" width="9.75" style="74" bestFit="1" customWidth="1"/>
    <col min="8" max="8" width="14.125" style="9" bestFit="1" customWidth="1"/>
    <col min="9" max="9" width="5.125" style="9" customWidth="1"/>
    <col min="10" max="10" width="12.375" style="9" bestFit="1" customWidth="1"/>
    <col min="11" max="11" width="24" style="9" bestFit="1" customWidth="1"/>
    <col min="12" max="12" width="13.25" style="9" bestFit="1" customWidth="1"/>
    <col min="13" max="13" width="16.375" style="9" bestFit="1" customWidth="1"/>
    <col min="14" max="14" width="5.125" style="9" customWidth="1"/>
    <col min="15" max="15" width="8.375" style="9" bestFit="1" customWidth="1"/>
    <col min="16" max="16" width="25.25" style="9" bestFit="1" customWidth="1"/>
    <col min="17" max="17" width="5" style="9" customWidth="1"/>
    <col min="18" max="18" width="8.5" style="9" bestFit="1" customWidth="1"/>
    <col min="19" max="19" width="25.25" style="9" bestFit="1" customWidth="1"/>
    <col min="20" max="20" width="5" style="9" customWidth="1"/>
    <col min="21" max="21" width="12" style="9" bestFit="1" customWidth="1"/>
    <col min="22" max="22" width="16.375" style="9" bestFit="1" customWidth="1"/>
    <col min="23" max="23" width="8.625" style="9" customWidth="1"/>
    <col min="24" max="24" width="5.75" style="9" bestFit="1" customWidth="1"/>
    <col min="25" max="26" width="9.75" style="9" bestFit="1" customWidth="1"/>
    <col min="27" max="27" width="5.75" style="9" bestFit="1" customWidth="1"/>
    <col min="28" max="28" width="9.75" style="9" bestFit="1" customWidth="1"/>
    <col min="29" max="29" width="5.5" style="9" customWidth="1"/>
    <col min="30" max="30" width="5.75" style="9" bestFit="1" customWidth="1"/>
    <col min="31" max="32" width="9.75" style="9" bestFit="1" customWidth="1"/>
    <col min="33" max="33" width="5.75" style="9" bestFit="1" customWidth="1"/>
    <col min="34" max="35" width="9.75" style="9" bestFit="1" customWidth="1"/>
    <col min="36" max="36" width="11.875" style="9" bestFit="1" customWidth="1"/>
    <col min="37" max="37" width="5.75" style="9" bestFit="1" customWidth="1"/>
    <col min="38" max="38" width="9.75" style="9" bestFit="1" customWidth="1"/>
    <col min="39" max="39" width="5.75" style="9" bestFit="1" customWidth="1"/>
    <col min="40" max="40" width="19.125" style="9" bestFit="1" customWidth="1"/>
    <col min="41" max="41" width="5.75" style="9" bestFit="1" customWidth="1"/>
    <col min="42" max="42" width="9.75" style="9" bestFit="1" customWidth="1"/>
    <col min="43" max="43" width="5.75" style="9" bestFit="1" customWidth="1"/>
    <col min="44" max="44" width="5.875" style="9" customWidth="1"/>
    <col min="45" max="45" width="5.75" style="9" bestFit="1" customWidth="1"/>
    <col min="46" max="46" width="11.875" style="9" bestFit="1" customWidth="1"/>
    <col min="47" max="47" width="9.75" style="9" bestFit="1" customWidth="1"/>
    <col min="48" max="48" width="5.75" style="9" bestFit="1" customWidth="1"/>
    <col min="49" max="50" width="9.75" style="9" bestFit="1" customWidth="1"/>
    <col min="51" max="51" width="11.875" style="9" bestFit="1" customWidth="1"/>
    <col min="52" max="52" width="5.75" style="9" bestFit="1" customWidth="1"/>
    <col min="53" max="53" width="9.75" style="9" bestFit="1" customWidth="1"/>
    <col min="54" max="54" width="5.75" style="9" bestFit="1" customWidth="1"/>
    <col min="55" max="55" width="19.125" style="9" bestFit="1" customWidth="1"/>
    <col min="56" max="56" width="5.75" style="9" bestFit="1" customWidth="1"/>
    <col min="57" max="57" width="9.75" style="9" bestFit="1" customWidth="1"/>
    <col min="58" max="58" width="14.125" style="9" bestFit="1" customWidth="1"/>
    <col min="59" max="59" width="5.75" style="9" bestFit="1" customWidth="1"/>
    <col min="60" max="60" width="16.375" style="9" bestFit="1" customWidth="1"/>
    <col min="61" max="61" width="9.75" style="9" bestFit="1" customWidth="1"/>
    <col min="62" max="62" width="14.125" style="9" bestFit="1" customWidth="1"/>
    <col min="63" max="63" width="5.625" style="9" customWidth="1"/>
    <col min="64" max="64" width="26.5" style="9" bestFit="1" customWidth="1"/>
    <col min="65" max="65" width="9.75" style="9" bestFit="1" customWidth="1"/>
    <col min="66" max="66" width="13" style="9" bestFit="1" customWidth="1"/>
    <col min="67" max="67" width="10.125" style="9" bestFit="1" customWidth="1"/>
    <col min="68" max="68" width="5.75" style="9" customWidth="1"/>
    <col min="69" max="69" width="14.125" style="9" bestFit="1" customWidth="1"/>
    <col min="70" max="70" width="9.75" style="9" bestFit="1" customWidth="1"/>
    <col min="71" max="71" width="8.875" style="9"/>
    <col min="72" max="72" width="25.875" style="9" bestFit="1" customWidth="1"/>
    <col min="73" max="73" width="8.875" style="9"/>
    <col min="74" max="74" width="18.875" style="9" bestFit="1" customWidth="1"/>
    <col min="75" max="75" width="8.875" style="9"/>
    <col min="76" max="78" width="14.25" style="9" bestFit="1" customWidth="1"/>
    <col min="79" max="16384" width="8.875" style="9"/>
  </cols>
  <sheetData>
    <row r="1" spans="1:78" ht="16.5">
      <c r="A1" s="190" t="s">
        <v>965</v>
      </c>
      <c r="B1" s="190"/>
      <c r="C1" s="190"/>
      <c r="D1" s="190"/>
      <c r="E1" s="190"/>
      <c r="G1" s="188" t="s">
        <v>966</v>
      </c>
      <c r="H1" s="188"/>
      <c r="J1" s="192" t="s">
        <v>955</v>
      </c>
      <c r="K1" s="192"/>
      <c r="L1" s="192"/>
      <c r="M1" s="192"/>
      <c r="O1" s="188" t="s">
        <v>810</v>
      </c>
      <c r="P1" s="188"/>
      <c r="Q1" s="84"/>
      <c r="R1" s="193" t="s">
        <v>975</v>
      </c>
      <c r="S1" s="193"/>
      <c r="T1" s="84"/>
      <c r="U1" s="189" t="s">
        <v>838</v>
      </c>
      <c r="V1" s="189"/>
      <c r="W1" s="74"/>
      <c r="X1" s="199" t="s">
        <v>434</v>
      </c>
      <c r="Y1" s="200"/>
      <c r="Z1" s="200"/>
      <c r="AA1" s="200"/>
      <c r="AB1" s="201"/>
      <c r="AD1" s="182" t="s">
        <v>1013</v>
      </c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S1" s="182" t="s">
        <v>813</v>
      </c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  <c r="BI1" s="182"/>
      <c r="BJ1" s="182"/>
      <c r="BL1" s="172" t="s">
        <v>869</v>
      </c>
      <c r="BM1" s="173"/>
      <c r="BN1" s="173"/>
      <c r="BO1" s="173"/>
      <c r="BQ1" s="197" t="s">
        <v>1007</v>
      </c>
      <c r="BR1" s="198"/>
      <c r="BT1" s="136" t="s">
        <v>1043</v>
      </c>
    </row>
    <row r="2" spans="1:78" ht="16.5">
      <c r="A2" s="85" t="s">
        <v>811</v>
      </c>
      <c r="B2" s="85" t="s">
        <v>812</v>
      </c>
      <c r="C2" s="85" t="s">
        <v>348</v>
      </c>
      <c r="D2" s="85" t="s">
        <v>22</v>
      </c>
      <c r="E2" s="85" t="s">
        <v>349</v>
      </c>
      <c r="G2" s="86" t="s">
        <v>482</v>
      </c>
      <c r="H2" s="87" t="s">
        <v>967</v>
      </c>
      <c r="J2" s="120" t="s">
        <v>911</v>
      </c>
      <c r="K2" s="88" t="s">
        <v>912</v>
      </c>
      <c r="L2" s="88" t="s">
        <v>954</v>
      </c>
      <c r="M2" s="88" t="s">
        <v>222</v>
      </c>
      <c r="O2" s="87" t="s">
        <v>794</v>
      </c>
      <c r="P2" s="87" t="s">
        <v>809</v>
      </c>
      <c r="Q2" s="89"/>
      <c r="R2" s="109" t="s">
        <v>392</v>
      </c>
      <c r="S2" s="109" t="s">
        <v>839</v>
      </c>
      <c r="T2" s="89"/>
      <c r="U2" s="90" t="s">
        <v>392</v>
      </c>
      <c r="V2" s="90" t="s">
        <v>839</v>
      </c>
      <c r="X2" s="191" t="s">
        <v>439</v>
      </c>
      <c r="Y2" s="191"/>
      <c r="Z2" s="191"/>
      <c r="AA2" s="191" t="s">
        <v>435</v>
      </c>
      <c r="AB2" s="191"/>
      <c r="AD2" s="174" t="s">
        <v>419</v>
      </c>
      <c r="AE2" s="183"/>
      <c r="AF2" s="183"/>
      <c r="AG2" s="183"/>
      <c r="AH2" s="183"/>
      <c r="AI2" s="175"/>
      <c r="AJ2" s="184" t="s">
        <v>417</v>
      </c>
      <c r="AK2" s="185"/>
      <c r="AL2" s="185"/>
      <c r="AM2" s="186"/>
      <c r="AN2" s="184" t="s">
        <v>418</v>
      </c>
      <c r="AO2" s="185"/>
      <c r="AP2" s="185"/>
      <c r="AQ2" s="186"/>
      <c r="AS2" s="174" t="s">
        <v>419</v>
      </c>
      <c r="AT2" s="183"/>
      <c r="AU2" s="183"/>
      <c r="AV2" s="183"/>
      <c r="AW2" s="183"/>
      <c r="AX2" s="175"/>
      <c r="AY2" s="184" t="s">
        <v>417</v>
      </c>
      <c r="AZ2" s="185"/>
      <c r="BA2" s="185"/>
      <c r="BB2" s="186"/>
      <c r="BC2" s="184" t="s">
        <v>418</v>
      </c>
      <c r="BD2" s="185"/>
      <c r="BE2" s="185"/>
      <c r="BF2" s="186"/>
      <c r="BG2" s="184" t="s">
        <v>764</v>
      </c>
      <c r="BH2" s="185"/>
      <c r="BI2" s="185"/>
      <c r="BJ2" s="186"/>
      <c r="BL2" s="172" t="s">
        <v>870</v>
      </c>
      <c r="BM2" s="173"/>
      <c r="BN2" s="173"/>
      <c r="BO2" s="173"/>
      <c r="BQ2" s="133" t="s">
        <v>999</v>
      </c>
      <c r="BR2" s="134" t="s">
        <v>1010</v>
      </c>
      <c r="BT2" s="97" t="s">
        <v>1044</v>
      </c>
    </row>
    <row r="3" spans="1:78" ht="16.5">
      <c r="A3" s="35" t="s">
        <v>53</v>
      </c>
      <c r="B3" s="35" t="s">
        <v>54</v>
      </c>
      <c r="C3" s="36" t="s">
        <v>27</v>
      </c>
      <c r="D3" s="35" t="s">
        <v>35</v>
      </c>
      <c r="E3" s="91" t="s">
        <v>350</v>
      </c>
      <c r="G3" s="92">
        <v>1</v>
      </c>
      <c r="H3" s="32" t="s">
        <v>968</v>
      </c>
      <c r="J3" s="106" t="s">
        <v>795</v>
      </c>
      <c r="K3" s="93" t="s">
        <v>941</v>
      </c>
      <c r="L3" s="93" t="s">
        <v>920</v>
      </c>
      <c r="M3" s="93" t="s">
        <v>784</v>
      </c>
      <c r="O3" s="116" t="s">
        <v>481</v>
      </c>
      <c r="P3" s="116" t="s">
        <v>138</v>
      </c>
      <c r="Q3" s="2"/>
      <c r="R3" s="32" t="s">
        <v>19</v>
      </c>
      <c r="S3" s="32" t="s">
        <v>805</v>
      </c>
      <c r="T3" s="2"/>
      <c r="U3" s="32" t="s">
        <v>153</v>
      </c>
      <c r="V3" s="32" t="s">
        <v>154</v>
      </c>
      <c r="W3" s="2"/>
      <c r="X3" s="191" t="s">
        <v>391</v>
      </c>
      <c r="Y3" s="191"/>
      <c r="Z3" s="191" t="s">
        <v>400</v>
      </c>
      <c r="AA3" s="191" t="s">
        <v>392</v>
      </c>
      <c r="AB3" s="191" t="s">
        <v>393</v>
      </c>
      <c r="AD3" s="174" t="s">
        <v>391</v>
      </c>
      <c r="AE3" s="175"/>
      <c r="AF3" s="180" t="s">
        <v>400</v>
      </c>
      <c r="AG3" s="184" t="s">
        <v>395</v>
      </c>
      <c r="AH3" s="186"/>
      <c r="AI3" s="179" t="s">
        <v>262</v>
      </c>
      <c r="AJ3" s="179" t="s">
        <v>401</v>
      </c>
      <c r="AK3" s="179" t="s">
        <v>402</v>
      </c>
      <c r="AL3" s="179"/>
      <c r="AM3" s="179" t="s">
        <v>403</v>
      </c>
      <c r="AN3" s="179" t="s">
        <v>401</v>
      </c>
      <c r="AO3" s="179" t="s">
        <v>402</v>
      </c>
      <c r="AP3" s="179"/>
      <c r="AQ3" s="179" t="s">
        <v>403</v>
      </c>
      <c r="AS3" s="174" t="s">
        <v>391</v>
      </c>
      <c r="AT3" s="175"/>
      <c r="AU3" s="180" t="s">
        <v>400</v>
      </c>
      <c r="AV3" s="184" t="s">
        <v>395</v>
      </c>
      <c r="AW3" s="186"/>
      <c r="AX3" s="179" t="s">
        <v>262</v>
      </c>
      <c r="AY3" s="179" t="s">
        <v>401</v>
      </c>
      <c r="AZ3" s="179" t="s">
        <v>402</v>
      </c>
      <c r="BA3" s="179"/>
      <c r="BB3" s="179" t="s">
        <v>403</v>
      </c>
      <c r="BC3" s="179" t="s">
        <v>401</v>
      </c>
      <c r="BD3" s="179" t="s">
        <v>402</v>
      </c>
      <c r="BE3" s="179"/>
      <c r="BF3" s="179" t="s">
        <v>403</v>
      </c>
      <c r="BG3" s="174" t="s">
        <v>394</v>
      </c>
      <c r="BH3" s="175"/>
      <c r="BI3" s="176" t="s">
        <v>374</v>
      </c>
      <c r="BJ3" s="179" t="s">
        <v>375</v>
      </c>
      <c r="BL3" s="94" t="s">
        <v>392</v>
      </c>
      <c r="BM3" s="94" t="s">
        <v>393</v>
      </c>
      <c r="BN3" s="94" t="s">
        <v>875</v>
      </c>
      <c r="BO3" s="94" t="s">
        <v>1066</v>
      </c>
      <c r="BQ3" s="97" t="b">
        <v>1</v>
      </c>
      <c r="BR3" s="97" t="s">
        <v>1008</v>
      </c>
      <c r="BT3" s="97" t="s">
        <v>1045</v>
      </c>
    </row>
    <row r="4" spans="1:78" ht="16.5">
      <c r="A4" s="35" t="s">
        <v>55</v>
      </c>
      <c r="B4" s="35" t="s">
        <v>56</v>
      </c>
      <c r="C4" s="36" t="s">
        <v>28</v>
      </c>
      <c r="D4" s="35" t="s">
        <v>33</v>
      </c>
      <c r="E4" s="91" t="s">
        <v>351</v>
      </c>
      <c r="G4" s="95">
        <v>2</v>
      </c>
      <c r="H4" s="96" t="s">
        <v>970</v>
      </c>
      <c r="J4" s="106" t="s">
        <v>795</v>
      </c>
      <c r="K4" s="93" t="s">
        <v>941</v>
      </c>
      <c r="L4" s="93" t="s">
        <v>921</v>
      </c>
      <c r="M4" s="93" t="s">
        <v>785</v>
      </c>
      <c r="O4" s="111" t="s">
        <v>483</v>
      </c>
      <c r="P4" s="111" t="s">
        <v>801</v>
      </c>
      <c r="R4" s="32" t="s">
        <v>36</v>
      </c>
      <c r="S4" s="32" t="s">
        <v>159</v>
      </c>
      <c r="U4" s="32" t="s">
        <v>131</v>
      </c>
      <c r="V4" s="32" t="s">
        <v>1177</v>
      </c>
      <c r="W4" s="2"/>
      <c r="X4" s="194" t="s">
        <v>392</v>
      </c>
      <c r="Y4" s="191" t="s">
        <v>393</v>
      </c>
      <c r="Z4" s="191"/>
      <c r="AA4" s="191"/>
      <c r="AB4" s="191"/>
      <c r="AD4" s="176" t="s">
        <v>392</v>
      </c>
      <c r="AE4" s="180" t="s">
        <v>393</v>
      </c>
      <c r="AF4" s="187"/>
      <c r="AG4" s="176" t="s">
        <v>392</v>
      </c>
      <c r="AH4" s="180" t="s">
        <v>393</v>
      </c>
      <c r="AI4" s="179"/>
      <c r="AJ4" s="179"/>
      <c r="AK4" s="179" t="s">
        <v>392</v>
      </c>
      <c r="AL4" s="179" t="s">
        <v>393</v>
      </c>
      <c r="AM4" s="179"/>
      <c r="AN4" s="179"/>
      <c r="AO4" s="179" t="s">
        <v>392</v>
      </c>
      <c r="AP4" s="179" t="s">
        <v>393</v>
      </c>
      <c r="AQ4" s="179"/>
      <c r="AS4" s="176" t="s">
        <v>392</v>
      </c>
      <c r="AT4" s="180" t="s">
        <v>393</v>
      </c>
      <c r="AU4" s="187"/>
      <c r="AV4" s="176" t="s">
        <v>392</v>
      </c>
      <c r="AW4" s="180" t="s">
        <v>393</v>
      </c>
      <c r="AX4" s="179"/>
      <c r="AY4" s="179"/>
      <c r="AZ4" s="179" t="s">
        <v>392</v>
      </c>
      <c r="BA4" s="179" t="s">
        <v>393</v>
      </c>
      <c r="BB4" s="179"/>
      <c r="BC4" s="179"/>
      <c r="BD4" s="179" t="s">
        <v>392</v>
      </c>
      <c r="BE4" s="179" t="s">
        <v>393</v>
      </c>
      <c r="BF4" s="179"/>
      <c r="BG4" s="176" t="s">
        <v>392</v>
      </c>
      <c r="BH4" s="180" t="s">
        <v>393</v>
      </c>
      <c r="BI4" s="177"/>
      <c r="BJ4" s="179"/>
      <c r="BL4" s="97">
        <v>0</v>
      </c>
      <c r="BM4" s="102" t="s">
        <v>874</v>
      </c>
      <c r="BN4" s="35" t="s">
        <v>879</v>
      </c>
      <c r="BO4" s="35" t="s">
        <v>1025</v>
      </c>
      <c r="BQ4" s="97" t="b">
        <v>0</v>
      </c>
      <c r="BR4" s="97" t="s">
        <v>1009</v>
      </c>
      <c r="BT4" s="97" t="s">
        <v>1046</v>
      </c>
    </row>
    <row r="5" spans="1:78" ht="16.5">
      <c r="A5" s="35" t="s">
        <v>30</v>
      </c>
      <c r="B5" s="35" t="s">
        <v>31</v>
      </c>
      <c r="C5" s="35"/>
      <c r="D5" s="35"/>
      <c r="E5" s="35"/>
      <c r="G5" s="92">
        <v>3</v>
      </c>
      <c r="H5" s="35" t="s">
        <v>969</v>
      </c>
      <c r="J5" s="121" t="s">
        <v>796</v>
      </c>
      <c r="K5" s="93" t="s">
        <v>942</v>
      </c>
      <c r="L5" s="93" t="s">
        <v>922</v>
      </c>
      <c r="M5" s="93" t="s">
        <v>787</v>
      </c>
      <c r="O5" s="117" t="s">
        <v>132</v>
      </c>
      <c r="P5" s="117" t="s">
        <v>180</v>
      </c>
      <c r="R5" s="32" t="s">
        <v>131</v>
      </c>
      <c r="S5" s="32" t="s">
        <v>155</v>
      </c>
      <c r="U5" s="32" t="s">
        <v>133</v>
      </c>
      <c r="V5" s="32" t="s">
        <v>1178</v>
      </c>
      <c r="W5" s="2"/>
      <c r="X5" s="194"/>
      <c r="Y5" s="191"/>
      <c r="Z5" s="191"/>
      <c r="AA5" s="191"/>
      <c r="AB5" s="191"/>
      <c r="AD5" s="178"/>
      <c r="AE5" s="181"/>
      <c r="AF5" s="181"/>
      <c r="AG5" s="178"/>
      <c r="AH5" s="181"/>
      <c r="AI5" s="179"/>
      <c r="AJ5" s="179"/>
      <c r="AK5" s="179"/>
      <c r="AL5" s="179"/>
      <c r="AM5" s="179"/>
      <c r="AN5" s="179"/>
      <c r="AO5" s="179"/>
      <c r="AP5" s="179"/>
      <c r="AQ5" s="179"/>
      <c r="AS5" s="178"/>
      <c r="AT5" s="181"/>
      <c r="AU5" s="181"/>
      <c r="AV5" s="178"/>
      <c r="AW5" s="181"/>
      <c r="AX5" s="179"/>
      <c r="AY5" s="179"/>
      <c r="AZ5" s="179"/>
      <c r="BA5" s="179"/>
      <c r="BB5" s="179"/>
      <c r="BC5" s="179"/>
      <c r="BD5" s="179"/>
      <c r="BE5" s="179"/>
      <c r="BF5" s="179"/>
      <c r="BG5" s="178"/>
      <c r="BH5" s="181"/>
      <c r="BI5" s="178"/>
      <c r="BJ5" s="179"/>
      <c r="BL5" s="97">
        <v>4</v>
      </c>
      <c r="BM5" s="101" t="s">
        <v>873</v>
      </c>
      <c r="BN5" s="35" t="s">
        <v>878</v>
      </c>
      <c r="BO5" s="35" t="s">
        <v>1026</v>
      </c>
      <c r="BT5" s="97" t="s">
        <v>1047</v>
      </c>
    </row>
    <row r="6" spans="1:78" ht="17.25" thickBot="1">
      <c r="A6" s="35" t="s">
        <v>57</v>
      </c>
      <c r="B6" s="35" t="s">
        <v>184</v>
      </c>
      <c r="C6" s="35"/>
      <c r="D6" s="35"/>
      <c r="E6" s="35"/>
      <c r="J6" s="107" t="s">
        <v>309</v>
      </c>
      <c r="K6" s="93" t="s">
        <v>943</v>
      </c>
      <c r="L6" s="93" t="s">
        <v>923</v>
      </c>
      <c r="M6" s="93" t="s">
        <v>223</v>
      </c>
      <c r="O6" s="108" t="s">
        <v>478</v>
      </c>
      <c r="P6" s="108" t="s">
        <v>802</v>
      </c>
      <c r="R6" s="32" t="s">
        <v>133</v>
      </c>
      <c r="S6" s="32" t="s">
        <v>156</v>
      </c>
      <c r="U6" s="32" t="s">
        <v>151</v>
      </c>
      <c r="V6" s="32" t="s">
        <v>1179</v>
      </c>
      <c r="W6" s="2"/>
      <c r="X6" s="92">
        <v>1</v>
      </c>
      <c r="Y6" s="92" t="s">
        <v>420</v>
      </c>
      <c r="Z6" s="92">
        <v>1</v>
      </c>
      <c r="AA6" s="92">
        <v>1</v>
      </c>
      <c r="AB6" s="32" t="s">
        <v>436</v>
      </c>
      <c r="AD6" s="92">
        <v>1</v>
      </c>
      <c r="AE6" s="32" t="s">
        <v>515</v>
      </c>
      <c r="AF6" s="92">
        <v>1</v>
      </c>
      <c r="AG6" s="100">
        <v>1</v>
      </c>
      <c r="AH6" s="100" t="s">
        <v>396</v>
      </c>
      <c r="AI6" s="92">
        <v>1</v>
      </c>
      <c r="AJ6" s="97" t="s">
        <v>404</v>
      </c>
      <c r="AK6" s="100">
        <v>1</v>
      </c>
      <c r="AL6" s="100" t="s">
        <v>410</v>
      </c>
      <c r="AM6" s="100" t="s">
        <v>413</v>
      </c>
      <c r="AN6" s="97" t="s">
        <v>407</v>
      </c>
      <c r="AO6" s="100">
        <v>1</v>
      </c>
      <c r="AP6" s="100" t="s">
        <v>410</v>
      </c>
      <c r="AQ6" s="100" t="s">
        <v>413</v>
      </c>
      <c r="AS6" s="92">
        <v>1</v>
      </c>
      <c r="AT6" s="32" t="s">
        <v>380</v>
      </c>
      <c r="AU6" s="92">
        <v>1</v>
      </c>
      <c r="AV6" s="100">
        <v>1</v>
      </c>
      <c r="AW6" s="100" t="s">
        <v>396</v>
      </c>
      <c r="AX6" s="92">
        <v>1</v>
      </c>
      <c r="AY6" s="97" t="s">
        <v>404</v>
      </c>
      <c r="AZ6" s="97">
        <v>1</v>
      </c>
      <c r="BA6" s="100" t="s">
        <v>410</v>
      </c>
      <c r="BB6" s="100" t="s">
        <v>413</v>
      </c>
      <c r="BC6" s="97" t="s">
        <v>407</v>
      </c>
      <c r="BD6" s="97">
        <v>1</v>
      </c>
      <c r="BE6" s="100" t="s">
        <v>410</v>
      </c>
      <c r="BF6" s="100" t="s">
        <v>413</v>
      </c>
      <c r="BG6" s="92">
        <v>11</v>
      </c>
      <c r="BH6" s="32" t="s">
        <v>381</v>
      </c>
      <c r="BI6" s="100">
        <v>1</v>
      </c>
      <c r="BJ6" s="100">
        <v>1</v>
      </c>
      <c r="BL6" s="97">
        <v>5</v>
      </c>
      <c r="BM6" s="135" t="s">
        <v>1014</v>
      </c>
      <c r="BN6" s="35" t="s">
        <v>1015</v>
      </c>
      <c r="BO6" s="35" t="s">
        <v>1024</v>
      </c>
      <c r="BT6" s="97" t="s">
        <v>1048</v>
      </c>
    </row>
    <row r="7" spans="1:78" ht="17.25" thickBot="1">
      <c r="A7" s="35" t="s">
        <v>58</v>
      </c>
      <c r="B7" s="35" t="s">
        <v>59</v>
      </c>
      <c r="C7" s="35"/>
      <c r="D7" s="35"/>
      <c r="E7" s="35"/>
      <c r="J7" s="107" t="s">
        <v>309</v>
      </c>
      <c r="K7" s="93" t="s">
        <v>943</v>
      </c>
      <c r="L7" s="93" t="s">
        <v>923</v>
      </c>
      <c r="M7" s="93" t="s">
        <v>224</v>
      </c>
      <c r="O7" s="118" t="s">
        <v>134</v>
      </c>
      <c r="P7" s="118" t="s">
        <v>803</v>
      </c>
      <c r="R7" s="32" t="s">
        <v>476</v>
      </c>
      <c r="S7" s="32" t="s">
        <v>978</v>
      </c>
      <c r="U7" s="32" t="s">
        <v>152</v>
      </c>
      <c r="V7" s="32" t="s">
        <v>980</v>
      </c>
      <c r="W7" s="2"/>
      <c r="X7" s="92">
        <v>2</v>
      </c>
      <c r="Y7" s="92" t="s">
        <v>421</v>
      </c>
      <c r="Z7" s="92">
        <v>2</v>
      </c>
      <c r="AA7" s="92">
        <v>2</v>
      </c>
      <c r="AB7" s="32" t="s">
        <v>437</v>
      </c>
      <c r="AD7" s="92">
        <v>2</v>
      </c>
      <c r="AE7" s="32" t="s">
        <v>512</v>
      </c>
      <c r="AF7" s="92">
        <v>2</v>
      </c>
      <c r="AG7" s="100">
        <v>2</v>
      </c>
      <c r="AH7" s="100" t="s">
        <v>397</v>
      </c>
      <c r="AI7" s="92">
        <v>2</v>
      </c>
      <c r="AJ7" s="97" t="s">
        <v>405</v>
      </c>
      <c r="AK7" s="100">
        <v>2</v>
      </c>
      <c r="AL7" s="100" t="s">
        <v>411</v>
      </c>
      <c r="AM7" s="100" t="s">
        <v>414</v>
      </c>
      <c r="AN7" s="97" t="s">
        <v>408</v>
      </c>
      <c r="AO7" s="100">
        <v>2</v>
      </c>
      <c r="AP7" s="100" t="s">
        <v>411</v>
      </c>
      <c r="AQ7" s="100" t="s">
        <v>414</v>
      </c>
      <c r="AS7" s="92">
        <v>2</v>
      </c>
      <c r="AT7" s="32" t="s">
        <v>385</v>
      </c>
      <c r="AU7" s="92">
        <v>2</v>
      </c>
      <c r="AV7" s="100">
        <v>2</v>
      </c>
      <c r="AW7" s="100" t="s">
        <v>397</v>
      </c>
      <c r="AX7" s="92">
        <v>2</v>
      </c>
      <c r="AY7" s="97" t="s">
        <v>405</v>
      </c>
      <c r="AZ7" s="97">
        <v>2</v>
      </c>
      <c r="BA7" s="100" t="s">
        <v>411</v>
      </c>
      <c r="BB7" s="100" t="s">
        <v>414</v>
      </c>
      <c r="BC7" s="97" t="s">
        <v>408</v>
      </c>
      <c r="BD7" s="97">
        <v>2</v>
      </c>
      <c r="BE7" s="100" t="s">
        <v>411</v>
      </c>
      <c r="BF7" s="100" t="s">
        <v>414</v>
      </c>
      <c r="BG7" s="92">
        <v>12</v>
      </c>
      <c r="BH7" s="32" t="s">
        <v>382</v>
      </c>
      <c r="BI7" s="100">
        <v>2</v>
      </c>
      <c r="BJ7" s="100">
        <v>2</v>
      </c>
      <c r="BL7" s="97">
        <v>6</v>
      </c>
      <c r="BM7" s="98" t="s">
        <v>871</v>
      </c>
      <c r="BN7" s="35" t="s">
        <v>876</v>
      </c>
      <c r="BO7" s="35" t="s">
        <v>1027</v>
      </c>
      <c r="BT7" s="97" t="s">
        <v>1049</v>
      </c>
      <c r="BV7" s="143" t="s">
        <v>1095</v>
      </c>
      <c r="BW7" s="144"/>
      <c r="BX7" s="145" t="s">
        <v>1096</v>
      </c>
      <c r="BY7" s="145" t="s">
        <v>1097</v>
      </c>
      <c r="BZ7" s="145" t="s">
        <v>1098</v>
      </c>
    </row>
    <row r="8" spans="1:78" ht="17.25" thickBot="1">
      <c r="A8" s="35" t="s">
        <v>61</v>
      </c>
      <c r="B8" s="35" t="s">
        <v>60</v>
      </c>
      <c r="C8" s="35"/>
      <c r="D8" s="35"/>
      <c r="E8" s="35"/>
      <c r="J8" s="107" t="s">
        <v>309</v>
      </c>
      <c r="K8" s="93" t="s">
        <v>943</v>
      </c>
      <c r="L8" s="93" t="s">
        <v>924</v>
      </c>
      <c r="M8" s="93" t="s">
        <v>783</v>
      </c>
      <c r="O8" s="119" t="s">
        <v>133</v>
      </c>
      <c r="P8" s="119" t="s">
        <v>804</v>
      </c>
      <c r="R8" s="35" t="s">
        <v>479</v>
      </c>
      <c r="S8" s="35" t="s">
        <v>179</v>
      </c>
      <c r="U8" s="32" t="s">
        <v>132</v>
      </c>
      <c r="V8" s="32" t="s">
        <v>869</v>
      </c>
      <c r="W8" s="2"/>
      <c r="X8" s="35"/>
      <c r="Y8" s="35"/>
      <c r="Z8" s="92">
        <v>3</v>
      </c>
      <c r="AA8" s="92">
        <v>3</v>
      </c>
      <c r="AB8" s="35" t="s">
        <v>438</v>
      </c>
      <c r="AD8" s="92">
        <v>3</v>
      </c>
      <c r="AE8" s="32" t="s">
        <v>514</v>
      </c>
      <c r="AF8" s="92">
        <v>3</v>
      </c>
      <c r="AG8" s="100">
        <v>3</v>
      </c>
      <c r="AH8" s="100" t="s">
        <v>398</v>
      </c>
      <c r="AI8" s="92">
        <v>3</v>
      </c>
      <c r="AJ8" s="97" t="s">
        <v>406</v>
      </c>
      <c r="AK8" s="100">
        <v>3</v>
      </c>
      <c r="AL8" s="100" t="s">
        <v>412</v>
      </c>
      <c r="AM8" s="100" t="s">
        <v>415</v>
      </c>
      <c r="AN8" s="97" t="s">
        <v>409</v>
      </c>
      <c r="AO8" s="100">
        <v>3</v>
      </c>
      <c r="AP8" s="100" t="s">
        <v>412</v>
      </c>
      <c r="AQ8" s="100" t="s">
        <v>415</v>
      </c>
      <c r="AS8" s="92">
        <v>3</v>
      </c>
      <c r="AT8" s="32" t="s">
        <v>378</v>
      </c>
      <c r="AU8" s="92">
        <v>3</v>
      </c>
      <c r="AV8" s="100">
        <v>3</v>
      </c>
      <c r="AW8" s="100" t="s">
        <v>398</v>
      </c>
      <c r="AX8" s="92">
        <v>3</v>
      </c>
      <c r="AY8" s="97" t="s">
        <v>422</v>
      </c>
      <c r="AZ8" s="97">
        <v>3</v>
      </c>
      <c r="BA8" s="100" t="s">
        <v>412</v>
      </c>
      <c r="BB8" s="100" t="s">
        <v>415</v>
      </c>
      <c r="BC8" s="97" t="s">
        <v>409</v>
      </c>
      <c r="BD8" s="97">
        <v>3</v>
      </c>
      <c r="BE8" s="100" t="s">
        <v>412</v>
      </c>
      <c r="BF8" s="100" t="s">
        <v>415</v>
      </c>
      <c r="BG8" s="92">
        <v>13</v>
      </c>
      <c r="BH8" s="32" t="s">
        <v>383</v>
      </c>
      <c r="BI8" s="100">
        <v>3</v>
      </c>
      <c r="BJ8" s="100">
        <v>3</v>
      </c>
      <c r="BL8" s="97">
        <v>10</v>
      </c>
      <c r="BM8" s="99" t="s">
        <v>872</v>
      </c>
      <c r="BN8" s="35" t="s">
        <v>877</v>
      </c>
      <c r="BO8" s="35" t="s">
        <v>1028</v>
      </c>
      <c r="BT8" s="97" t="s">
        <v>1050</v>
      </c>
      <c r="BV8" s="195" t="s">
        <v>1099</v>
      </c>
      <c r="BW8" s="146" t="s">
        <v>1100</v>
      </c>
      <c r="BX8" s="147" t="s">
        <v>1101</v>
      </c>
      <c r="BY8" s="147" t="s">
        <v>1101</v>
      </c>
      <c r="BZ8" s="147" t="s">
        <v>1101</v>
      </c>
    </row>
    <row r="9" spans="1:78" ht="17.25" thickBot="1">
      <c r="A9" s="35" t="s">
        <v>62</v>
      </c>
      <c r="B9" s="35" t="s">
        <v>63</v>
      </c>
      <c r="C9" s="35"/>
      <c r="D9" s="35"/>
      <c r="E9" s="35"/>
      <c r="H9" s="2"/>
      <c r="J9" s="107" t="s">
        <v>309</v>
      </c>
      <c r="K9" s="93" t="s">
        <v>943</v>
      </c>
      <c r="L9" s="93" t="s">
        <v>925</v>
      </c>
      <c r="M9" s="93" t="s">
        <v>231</v>
      </c>
      <c r="O9" s="83" t="s">
        <v>131</v>
      </c>
      <c r="P9" s="83" t="s">
        <v>178</v>
      </c>
      <c r="Q9" s="2"/>
      <c r="R9" s="32" t="s">
        <v>132</v>
      </c>
      <c r="S9" s="32" t="s">
        <v>157</v>
      </c>
      <c r="T9" s="2"/>
      <c r="U9" s="32" t="s">
        <v>134</v>
      </c>
      <c r="V9" s="32" t="s">
        <v>1116</v>
      </c>
      <c r="W9" s="2"/>
      <c r="X9" s="35"/>
      <c r="Y9" s="35"/>
      <c r="Z9" s="92">
        <v>4</v>
      </c>
      <c r="AA9" s="35"/>
      <c r="AB9" s="35"/>
      <c r="AD9" s="92">
        <v>4</v>
      </c>
      <c r="AE9" s="32" t="s">
        <v>516</v>
      </c>
      <c r="AF9" s="92">
        <v>4</v>
      </c>
      <c r="AG9" s="100">
        <v>4</v>
      </c>
      <c r="AH9" s="100" t="s">
        <v>399</v>
      </c>
      <c r="AI9" s="92">
        <v>4</v>
      </c>
      <c r="AJ9" s="92"/>
      <c r="AK9" s="100"/>
      <c r="AL9" s="100"/>
      <c r="AM9" s="100" t="s">
        <v>416</v>
      </c>
      <c r="AN9" s="103"/>
      <c r="AO9" s="100"/>
      <c r="AP9" s="100"/>
      <c r="AQ9" s="100" t="s">
        <v>416</v>
      </c>
      <c r="AS9" s="92">
        <v>4</v>
      </c>
      <c r="AT9" s="35" t="s">
        <v>379</v>
      </c>
      <c r="AU9" s="92">
        <v>4</v>
      </c>
      <c r="AV9" s="100">
        <v>4</v>
      </c>
      <c r="AW9" s="100" t="s">
        <v>399</v>
      </c>
      <c r="AX9" s="92">
        <v>4</v>
      </c>
      <c r="AY9" s="92"/>
      <c r="AZ9" s="100"/>
      <c r="BA9" s="100"/>
      <c r="BB9" s="100" t="s">
        <v>416</v>
      </c>
      <c r="BC9" s="103"/>
      <c r="BD9" s="100"/>
      <c r="BE9" s="100"/>
      <c r="BF9" s="100" t="s">
        <v>416</v>
      </c>
      <c r="BG9" s="92">
        <v>14</v>
      </c>
      <c r="BH9" s="35" t="s">
        <v>384</v>
      </c>
      <c r="BI9" s="100">
        <v>4</v>
      </c>
      <c r="BJ9" s="100">
        <v>4</v>
      </c>
      <c r="BT9" s="97" t="s">
        <v>1051</v>
      </c>
      <c r="BV9" s="196"/>
      <c r="BW9" s="146" t="s">
        <v>1102</v>
      </c>
      <c r="BX9" s="147" t="s">
        <v>1103</v>
      </c>
      <c r="BY9" s="147" t="s">
        <v>1104</v>
      </c>
      <c r="BZ9" s="147" t="s">
        <v>1105</v>
      </c>
    </row>
    <row r="10" spans="1:78" ht="17.25" thickBot="1">
      <c r="A10" s="35" t="s">
        <v>64</v>
      </c>
      <c r="B10" s="35" t="s">
        <v>63</v>
      </c>
      <c r="C10" s="35"/>
      <c r="D10" s="35"/>
      <c r="E10" s="35"/>
      <c r="J10" s="107" t="s">
        <v>309</v>
      </c>
      <c r="K10" s="93" t="s">
        <v>943</v>
      </c>
      <c r="L10" s="93" t="s">
        <v>925</v>
      </c>
      <c r="M10" s="93" t="s">
        <v>790</v>
      </c>
      <c r="O10" s="110" t="s">
        <v>479</v>
      </c>
      <c r="P10" s="110" t="s">
        <v>179</v>
      </c>
      <c r="R10" s="32" t="s">
        <v>134</v>
      </c>
      <c r="S10" s="32" t="s">
        <v>158</v>
      </c>
      <c r="U10" s="32" t="s">
        <v>36</v>
      </c>
      <c r="V10" s="32" t="s">
        <v>159</v>
      </c>
      <c r="W10" s="2"/>
      <c r="X10" s="35"/>
      <c r="Y10" s="35"/>
      <c r="Z10" s="92">
        <v>5</v>
      </c>
      <c r="AA10" s="35"/>
      <c r="AB10" s="35"/>
      <c r="AD10" s="92">
        <v>5</v>
      </c>
      <c r="AE10" s="32" t="s">
        <v>513</v>
      </c>
      <c r="AF10" s="92">
        <v>5</v>
      </c>
      <c r="AG10" s="32"/>
      <c r="AH10" s="32"/>
      <c r="AI10" s="92">
        <v>5</v>
      </c>
      <c r="AJ10" s="103"/>
      <c r="AK10" s="103"/>
      <c r="AL10" s="103"/>
      <c r="AM10" s="103"/>
      <c r="AN10" s="103"/>
      <c r="AO10" s="103"/>
      <c r="AP10" s="103"/>
      <c r="AQ10" s="103"/>
      <c r="AS10" s="35"/>
      <c r="AT10" s="35"/>
      <c r="AU10" s="92">
        <v>5</v>
      </c>
      <c r="AV10" s="32"/>
      <c r="AW10" s="32"/>
      <c r="AX10" s="92">
        <v>5</v>
      </c>
      <c r="AY10" s="103"/>
      <c r="AZ10" s="103"/>
      <c r="BA10" s="103"/>
      <c r="BB10" s="103"/>
      <c r="BC10" s="103"/>
      <c r="BD10" s="103"/>
      <c r="BE10" s="103"/>
      <c r="BF10" s="103"/>
      <c r="BG10" s="92">
        <v>21</v>
      </c>
      <c r="BH10" s="32" t="s">
        <v>386</v>
      </c>
      <c r="BI10" s="92">
        <v>5</v>
      </c>
      <c r="BJ10" s="92">
        <v>5</v>
      </c>
      <c r="BT10" s="97" t="s">
        <v>1052</v>
      </c>
      <c r="BV10" s="195" t="s">
        <v>1106</v>
      </c>
      <c r="BW10" s="146" t="s">
        <v>1100</v>
      </c>
      <c r="BX10" s="147" t="s">
        <v>1101</v>
      </c>
      <c r="BY10" s="147" t="s">
        <v>1101</v>
      </c>
      <c r="BZ10" s="147" t="s">
        <v>1101</v>
      </c>
    </row>
    <row r="11" spans="1:78" ht="17.25" thickBot="1">
      <c r="A11" s="35" t="s">
        <v>14</v>
      </c>
      <c r="B11" s="35" t="s">
        <v>65</v>
      </c>
      <c r="C11" s="35"/>
      <c r="D11" s="35"/>
      <c r="E11" s="35"/>
      <c r="H11" s="2"/>
      <c r="J11" s="107" t="s">
        <v>309</v>
      </c>
      <c r="K11" s="93" t="s">
        <v>943</v>
      </c>
      <c r="L11" s="93" t="s">
        <v>925</v>
      </c>
      <c r="M11" s="93" t="s">
        <v>791</v>
      </c>
      <c r="O11" s="112" t="s">
        <v>19</v>
      </c>
      <c r="P11" s="112" t="s">
        <v>805</v>
      </c>
      <c r="Q11" s="2"/>
      <c r="R11" s="32" t="s">
        <v>979</v>
      </c>
      <c r="S11" s="32" t="s">
        <v>980</v>
      </c>
      <c r="T11" s="2"/>
      <c r="AD11" s="92">
        <v>6</v>
      </c>
      <c r="AE11" s="35" t="s">
        <v>764</v>
      </c>
      <c r="AF11" s="103"/>
      <c r="AG11" s="103"/>
      <c r="AH11" s="103"/>
      <c r="AI11" s="103"/>
      <c r="AJ11" s="103"/>
      <c r="AK11" s="103"/>
      <c r="AL11" s="103"/>
      <c r="AM11" s="104"/>
      <c r="AN11" s="104"/>
      <c r="AO11" s="104"/>
      <c r="AP11" s="104"/>
      <c r="AQ11" s="10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92">
        <v>22</v>
      </c>
      <c r="BH11" s="32" t="s">
        <v>387</v>
      </c>
      <c r="BI11" s="103"/>
      <c r="BJ11" s="103"/>
      <c r="BL11" s="9" t="s">
        <v>1029</v>
      </c>
      <c r="BT11" s="97" t="s">
        <v>1053</v>
      </c>
      <c r="BV11" s="196"/>
      <c r="BW11" s="146" t="s">
        <v>1102</v>
      </c>
      <c r="BX11" s="147" t="s">
        <v>1107</v>
      </c>
      <c r="BY11" s="147" t="s">
        <v>1108</v>
      </c>
      <c r="BZ11" s="147" t="s">
        <v>1109</v>
      </c>
    </row>
    <row r="12" spans="1:78" ht="17.25" thickBot="1">
      <c r="A12" s="35" t="s">
        <v>0</v>
      </c>
      <c r="B12" s="35" t="s">
        <v>65</v>
      </c>
      <c r="C12" s="35"/>
      <c r="D12" s="35"/>
      <c r="E12" s="35"/>
      <c r="H12" s="2"/>
      <c r="J12" s="107" t="s">
        <v>309</v>
      </c>
      <c r="K12" s="93" t="s">
        <v>943</v>
      </c>
      <c r="L12" s="93" t="s">
        <v>925</v>
      </c>
      <c r="M12" s="93" t="s">
        <v>793</v>
      </c>
      <c r="O12" s="113" t="s">
        <v>476</v>
      </c>
      <c r="P12" s="113" t="s">
        <v>806</v>
      </c>
      <c r="Q12" s="2"/>
      <c r="R12" s="2"/>
      <c r="S12" s="2"/>
      <c r="T12" s="2"/>
      <c r="U12" s="2"/>
      <c r="V12" s="2"/>
      <c r="W12" s="2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92">
        <v>23</v>
      </c>
      <c r="BH12" s="32" t="s">
        <v>388</v>
      </c>
      <c r="BI12" s="103"/>
      <c r="BJ12" s="103"/>
      <c r="BL12" s="9" t="s">
        <v>1030</v>
      </c>
      <c r="BT12" s="97" t="s">
        <v>1054</v>
      </c>
      <c r="BV12" s="195" t="s">
        <v>1110</v>
      </c>
      <c r="BW12" s="146" t="s">
        <v>1100</v>
      </c>
      <c r="BX12" s="147" t="s">
        <v>1107</v>
      </c>
      <c r="BY12" s="147" t="s">
        <v>1108</v>
      </c>
      <c r="BZ12" s="147" t="s">
        <v>1109</v>
      </c>
    </row>
    <row r="13" spans="1:78" ht="17.25" thickBot="1">
      <c r="A13" s="35" t="s">
        <v>66</v>
      </c>
      <c r="B13" s="35" t="s">
        <v>65</v>
      </c>
      <c r="C13" s="35"/>
      <c r="D13" s="35"/>
      <c r="E13" s="35"/>
      <c r="J13" s="107" t="s">
        <v>309</v>
      </c>
      <c r="K13" s="93" t="s">
        <v>943</v>
      </c>
      <c r="L13" s="93" t="s">
        <v>926</v>
      </c>
      <c r="M13" s="93" t="s">
        <v>783</v>
      </c>
      <c r="O13" s="114" t="s">
        <v>477</v>
      </c>
      <c r="P13" s="114" t="s">
        <v>807</v>
      </c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92">
        <v>24</v>
      </c>
      <c r="BH13" s="35" t="s">
        <v>389</v>
      </c>
      <c r="BI13" s="104"/>
      <c r="BJ13" s="104"/>
      <c r="BL13" s="9" t="s">
        <v>1031</v>
      </c>
      <c r="BT13" s="97" t="s">
        <v>1055</v>
      </c>
      <c r="BV13" s="196"/>
      <c r="BW13" s="146" t="s">
        <v>1102</v>
      </c>
      <c r="BX13" s="147" t="s">
        <v>1111</v>
      </c>
      <c r="BY13" s="147" t="s">
        <v>1111</v>
      </c>
      <c r="BZ13" s="147" t="s">
        <v>1111</v>
      </c>
    </row>
    <row r="14" spans="1:78" ht="17.25" thickBot="1">
      <c r="A14" s="35" t="s">
        <v>67</v>
      </c>
      <c r="B14" s="35" t="s">
        <v>65</v>
      </c>
      <c r="C14" s="35"/>
      <c r="D14" s="35"/>
      <c r="E14" s="35"/>
      <c r="J14" s="107" t="s">
        <v>309</v>
      </c>
      <c r="K14" s="93" t="s">
        <v>943</v>
      </c>
      <c r="L14" s="93" t="s">
        <v>927</v>
      </c>
      <c r="M14" s="93" t="s">
        <v>786</v>
      </c>
      <c r="O14" s="115" t="s">
        <v>808</v>
      </c>
      <c r="P14" s="115" t="s">
        <v>181</v>
      </c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92">
        <v>25</v>
      </c>
      <c r="BH14" s="35" t="s">
        <v>382</v>
      </c>
      <c r="BI14" s="104"/>
      <c r="BJ14" s="104"/>
      <c r="BL14" s="9" t="s">
        <v>1042</v>
      </c>
      <c r="BT14" s="97" t="s">
        <v>1047</v>
      </c>
      <c r="BV14" s="148" t="s">
        <v>1112</v>
      </c>
      <c r="BW14" s="146" t="s">
        <v>1100</v>
      </c>
      <c r="BX14" s="147" t="s">
        <v>1113</v>
      </c>
      <c r="BY14" s="147" t="s">
        <v>1113</v>
      </c>
      <c r="BZ14" s="147" t="s">
        <v>1113</v>
      </c>
    </row>
    <row r="15" spans="1:78">
      <c r="A15" s="35" t="s">
        <v>68</v>
      </c>
      <c r="B15" s="35" t="s">
        <v>65</v>
      </c>
      <c r="C15" s="35"/>
      <c r="D15" s="35"/>
      <c r="E15" s="35"/>
      <c r="J15" s="107" t="s">
        <v>309</v>
      </c>
      <c r="K15" s="93" t="s">
        <v>943</v>
      </c>
      <c r="L15" s="93" t="s">
        <v>927</v>
      </c>
      <c r="M15" s="93" t="s">
        <v>792</v>
      </c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92">
        <v>31</v>
      </c>
      <c r="BH15" s="32" t="s">
        <v>383</v>
      </c>
      <c r="BI15" s="35"/>
      <c r="BJ15" s="35"/>
      <c r="BL15" s="9" t="s">
        <v>1032</v>
      </c>
    </row>
    <row r="16" spans="1:78">
      <c r="A16" s="35" t="s">
        <v>69</v>
      </c>
      <c r="B16" s="35" t="s">
        <v>65</v>
      </c>
      <c r="C16" s="35"/>
      <c r="D16" s="35"/>
      <c r="E16" s="35"/>
      <c r="J16" s="122" t="s">
        <v>144</v>
      </c>
      <c r="K16" s="93" t="s">
        <v>944</v>
      </c>
      <c r="L16" s="93" t="s">
        <v>923</v>
      </c>
      <c r="M16" s="93" t="s">
        <v>223</v>
      </c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92">
        <v>32</v>
      </c>
      <c r="BH16" s="32" t="s">
        <v>390</v>
      </c>
      <c r="BI16" s="35"/>
      <c r="BJ16" s="35"/>
      <c r="BL16" s="9" t="s">
        <v>1033</v>
      </c>
    </row>
    <row r="17" spans="1:74">
      <c r="A17" s="35" t="s">
        <v>70</v>
      </c>
      <c r="B17" s="35" t="s">
        <v>65</v>
      </c>
      <c r="C17" s="35"/>
      <c r="D17" s="35"/>
      <c r="E17" s="35"/>
      <c r="J17" s="122" t="s">
        <v>144</v>
      </c>
      <c r="K17" s="93" t="s">
        <v>944</v>
      </c>
      <c r="L17" s="93" t="s">
        <v>923</v>
      </c>
      <c r="M17" s="93" t="s">
        <v>224</v>
      </c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92">
        <v>33</v>
      </c>
      <c r="BH17" s="32" t="s">
        <v>384</v>
      </c>
      <c r="BI17" s="105"/>
      <c r="BJ17" s="105"/>
      <c r="BL17" s="9" t="s">
        <v>1034</v>
      </c>
      <c r="BV17" s="9">
        <v>0</v>
      </c>
    </row>
    <row r="18" spans="1:74">
      <c r="A18" s="35" t="s">
        <v>71</v>
      </c>
      <c r="B18" s="35" t="s">
        <v>72</v>
      </c>
      <c r="C18" s="35"/>
      <c r="D18" s="35"/>
      <c r="E18" s="35"/>
      <c r="J18" s="122" t="s">
        <v>144</v>
      </c>
      <c r="K18" s="93" t="s">
        <v>944</v>
      </c>
      <c r="L18" s="93" t="s">
        <v>923</v>
      </c>
      <c r="M18" s="93" t="s">
        <v>231</v>
      </c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92">
        <v>41</v>
      </c>
      <c r="BH18" s="32" t="s">
        <v>386</v>
      </c>
      <c r="BI18" s="105"/>
      <c r="BJ18" s="105"/>
      <c r="BL18" s="9" t="s">
        <v>1035</v>
      </c>
      <c r="BV18" s="9">
        <v>1</v>
      </c>
    </row>
    <row r="19" spans="1:74">
      <c r="A19" s="35" t="s">
        <v>73</v>
      </c>
      <c r="B19" s="35" t="s">
        <v>74</v>
      </c>
      <c r="C19" s="35"/>
      <c r="D19" s="35"/>
      <c r="E19" s="35"/>
      <c r="J19" s="122" t="s">
        <v>144</v>
      </c>
      <c r="K19" s="93" t="s">
        <v>944</v>
      </c>
      <c r="L19" s="93" t="s">
        <v>924</v>
      </c>
      <c r="M19" s="93" t="s">
        <v>783</v>
      </c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92">
        <v>42</v>
      </c>
      <c r="BH19" s="32" t="s">
        <v>387</v>
      </c>
      <c r="BI19" s="35"/>
      <c r="BJ19" s="35"/>
      <c r="BL19" s="9" t="s">
        <v>1036</v>
      </c>
      <c r="BV19" s="9">
        <v>2</v>
      </c>
    </row>
    <row r="20" spans="1:74">
      <c r="A20" s="35" t="s">
        <v>5</v>
      </c>
      <c r="B20" s="35" t="s">
        <v>75</v>
      </c>
      <c r="C20" s="35"/>
      <c r="D20" s="35"/>
      <c r="E20" s="35"/>
      <c r="J20" s="122" t="s">
        <v>144</v>
      </c>
      <c r="K20" s="93" t="s">
        <v>944</v>
      </c>
      <c r="L20" s="93" t="s">
        <v>925</v>
      </c>
      <c r="M20" s="93" t="s">
        <v>790</v>
      </c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92">
        <v>43</v>
      </c>
      <c r="BH20" s="32" t="s">
        <v>388</v>
      </c>
      <c r="BI20" s="35"/>
      <c r="BJ20" s="35"/>
      <c r="BL20" s="9" t="s">
        <v>1037</v>
      </c>
      <c r="BV20" s="9">
        <v>3</v>
      </c>
    </row>
    <row r="21" spans="1:74">
      <c r="J21" s="122" t="s">
        <v>144</v>
      </c>
      <c r="K21" s="93" t="s">
        <v>944</v>
      </c>
      <c r="L21" s="93" t="s">
        <v>925</v>
      </c>
      <c r="M21" s="93" t="s">
        <v>791</v>
      </c>
      <c r="BL21" s="9" t="s">
        <v>1038</v>
      </c>
      <c r="BV21" s="9">
        <v>4</v>
      </c>
    </row>
    <row r="22" spans="1:74">
      <c r="A22" s="9" t="s">
        <v>1088</v>
      </c>
      <c r="J22" s="122" t="s">
        <v>144</v>
      </c>
      <c r="K22" s="93" t="s">
        <v>944</v>
      </c>
      <c r="L22" s="93" t="s">
        <v>926</v>
      </c>
      <c r="M22" s="93" t="s">
        <v>783</v>
      </c>
      <c r="BL22" s="9" t="s">
        <v>1039</v>
      </c>
      <c r="BV22" s="9">
        <v>5</v>
      </c>
    </row>
    <row r="23" spans="1:74">
      <c r="A23" s="140" t="str">
        <f ca="1">LOWER(CONCATENATE(DEC2HEX(RANDBETWEEN(0,POWER(16,8)),8),"-",DEC2HEX(RANDBETWEEN(0,POWER(16,4)),4),"-","4",DEC2HEX(RANDBETWEEN(0,POWER(16,3)),3),"-",DEC2HEX(RANDBETWEEN(8,11)),DEC2HEX(RANDBETWEEN(0,POWER(16,3)),3),"-",DEC2HEX(RANDBETWEEN(0,POWER(16,8)),8),DEC2HEX(RANDBETWEEN(0,POWER(16,4)),4)))</f>
        <v>6d196da7-473e-4805-bc5f-39ce2da9dc48</v>
      </c>
      <c r="J23" s="122" t="s">
        <v>144</v>
      </c>
      <c r="K23" s="93" t="s">
        <v>944</v>
      </c>
      <c r="L23" s="93" t="s">
        <v>928</v>
      </c>
      <c r="M23" s="93" t="s">
        <v>783</v>
      </c>
      <c r="BL23" s="9" t="s">
        <v>1040</v>
      </c>
      <c r="BV23" s="9">
        <v>6</v>
      </c>
    </row>
    <row r="24" spans="1:74">
      <c r="A24" s="140" t="str">
        <f t="shared" ref="A24:A35" ca="1" si="0">LOWER(CONCATENATE(DEC2HEX(RANDBETWEEN(0,POWER(16,8)),8),"-",DEC2HEX(RANDBETWEEN(0,POWER(16,4)),4),"-","4",DEC2HEX(RANDBETWEEN(0,POWER(16,3)),3),"-",DEC2HEX(RANDBETWEEN(8,11)),DEC2HEX(RANDBETWEEN(0,POWER(16,3)),3),"-",DEC2HEX(RANDBETWEEN(0,POWER(16,8)),8),DEC2HEX(RANDBETWEEN(0,POWER(16,4)),4)))</f>
        <v>22d2419f-44a5-4dd4-a5c1-16c81165ed34</v>
      </c>
      <c r="J24" s="123" t="s">
        <v>145</v>
      </c>
      <c r="K24" s="93" t="s">
        <v>945</v>
      </c>
      <c r="L24" s="93" t="s">
        <v>923</v>
      </c>
      <c r="M24" s="93" t="s">
        <v>223</v>
      </c>
      <c r="BL24" s="9" t="s">
        <v>1041</v>
      </c>
      <c r="BV24" s="9">
        <v>7</v>
      </c>
    </row>
    <row r="25" spans="1:74">
      <c r="A25" s="140" t="str">
        <f t="shared" ca="1" si="0"/>
        <v>de21967b-90f4-4e79-982b-20134644c8d3</v>
      </c>
      <c r="J25" s="123" t="s">
        <v>145</v>
      </c>
      <c r="K25" s="93" t="s">
        <v>945</v>
      </c>
      <c r="L25" s="93" t="s">
        <v>923</v>
      </c>
      <c r="M25" s="93" t="s">
        <v>224</v>
      </c>
      <c r="BV25" s="9">
        <v>8</v>
      </c>
    </row>
    <row r="26" spans="1:74">
      <c r="A26" s="140" t="str">
        <f t="shared" ca="1" si="0"/>
        <v>e064802c-d096-460d-9e43-e7cffe896dc2</v>
      </c>
      <c r="J26" s="123" t="s">
        <v>145</v>
      </c>
      <c r="K26" s="93" t="s">
        <v>945</v>
      </c>
      <c r="L26" s="93" t="s">
        <v>925</v>
      </c>
      <c r="M26" s="93" t="s">
        <v>231</v>
      </c>
      <c r="BV26" s="9">
        <v>9</v>
      </c>
    </row>
    <row r="27" spans="1:74">
      <c r="A27" s="140" t="str">
        <f t="shared" ca="1" si="0"/>
        <v>19332e6e-6de5-4261-95aa-0d499b54df2c</v>
      </c>
      <c r="J27" s="123" t="s">
        <v>145</v>
      </c>
      <c r="K27" s="93" t="s">
        <v>945</v>
      </c>
      <c r="L27" s="93" t="s">
        <v>925</v>
      </c>
      <c r="M27" s="93" t="s">
        <v>790</v>
      </c>
      <c r="BV27" s="9">
        <v>10</v>
      </c>
    </row>
    <row r="28" spans="1:74">
      <c r="A28" s="140" t="str">
        <f t="shared" ca="1" si="0"/>
        <v>73d13dc1-ac17-414c-b6b9-f88ac1819d6b</v>
      </c>
      <c r="J28" s="123" t="s">
        <v>145</v>
      </c>
      <c r="K28" s="93" t="s">
        <v>945</v>
      </c>
      <c r="L28" s="93" t="s">
        <v>925</v>
      </c>
      <c r="M28" s="93" t="s">
        <v>791</v>
      </c>
    </row>
    <row r="29" spans="1:74">
      <c r="A29" s="140" t="str">
        <f t="shared" ca="1" si="0"/>
        <v>cc9ab4eb-56bb-4027-8c6e-24220baf026c</v>
      </c>
      <c r="J29" s="123" t="s">
        <v>145</v>
      </c>
      <c r="K29" s="93" t="s">
        <v>945</v>
      </c>
      <c r="L29" s="93" t="s">
        <v>926</v>
      </c>
      <c r="M29" s="93" t="s">
        <v>783</v>
      </c>
    </row>
    <row r="30" spans="1:74">
      <c r="A30" s="140" t="str">
        <f t="shared" ca="1" si="0"/>
        <v>27075a3c-6a49-4c2a-abab-c824d1afde46</v>
      </c>
      <c r="J30" s="123" t="s">
        <v>145</v>
      </c>
      <c r="K30" s="93" t="s">
        <v>945</v>
      </c>
      <c r="L30" s="93" t="s">
        <v>927</v>
      </c>
      <c r="M30" s="93" t="s">
        <v>783</v>
      </c>
    </row>
    <row r="31" spans="1:74">
      <c r="A31" s="140" t="str">
        <f ca="1">LOWER(CONCATENATE(DEC2HEX(RANDBETWEEN(0,POWER(16,8)),8),"-",DEC2HEX(RANDBETWEEN(0,POWER(16,4)),4),"-","4",DEC2HEX(RANDBETWEEN(0,POWER(16,3)),3),"-",DEC2HEX(RANDBETWEEN(8,11)),DEC2HEX(RANDBETWEEN(0,POWER(16,3)),3),"-",DEC2HEX(RANDBETWEEN(0,POWER(16,8)),8),DEC2HEX(RANDBETWEEN(0,POWER(16,4)),4)))</f>
        <v>6ccfecac-c3c8-4365-b206-675f5274b27b</v>
      </c>
      <c r="J31" s="124" t="s">
        <v>146</v>
      </c>
      <c r="K31" s="93" t="s">
        <v>946</v>
      </c>
      <c r="L31" s="93" t="s">
        <v>923</v>
      </c>
      <c r="M31" s="93" t="s">
        <v>223</v>
      </c>
    </row>
    <row r="32" spans="1:74">
      <c r="A32" s="140" t="str">
        <f t="shared" ca="1" si="0"/>
        <v>cf405269-6ae9-4e8c-8b8c-b2289bb78e09</v>
      </c>
      <c r="J32" s="124" t="s">
        <v>146</v>
      </c>
      <c r="K32" s="93" t="s">
        <v>946</v>
      </c>
      <c r="L32" s="93" t="s">
        <v>923</v>
      </c>
      <c r="M32" s="93" t="s">
        <v>224</v>
      </c>
    </row>
    <row r="33" spans="1:13">
      <c r="A33" s="140" t="str">
        <f t="shared" ca="1" si="0"/>
        <v>862f7068-5bed-4890-bd52-4842d88872ba</v>
      </c>
      <c r="J33" s="124" t="s">
        <v>146</v>
      </c>
      <c r="K33" s="93" t="s">
        <v>946</v>
      </c>
      <c r="L33" s="93" t="s">
        <v>925</v>
      </c>
      <c r="M33" s="93" t="s">
        <v>790</v>
      </c>
    </row>
    <row r="34" spans="1:13">
      <c r="A34" s="140" t="str">
        <f t="shared" ca="1" si="0"/>
        <v>dc42f008-da92-444f-8f85-c946f00786d5</v>
      </c>
      <c r="J34" s="124" t="s">
        <v>146</v>
      </c>
      <c r="K34" s="93" t="s">
        <v>946</v>
      </c>
      <c r="L34" s="93" t="s">
        <v>925</v>
      </c>
      <c r="M34" s="93" t="s">
        <v>791</v>
      </c>
    </row>
    <row r="35" spans="1:13">
      <c r="A35" s="140" t="str">
        <f t="shared" ca="1" si="0"/>
        <v>186bf9d0-40d8-4b8f-b4e5-48f02c759a59</v>
      </c>
      <c r="J35" s="124" t="s">
        <v>146</v>
      </c>
      <c r="K35" s="93" t="s">
        <v>946</v>
      </c>
      <c r="L35" s="93" t="s">
        <v>924</v>
      </c>
      <c r="M35" s="93" t="s">
        <v>783</v>
      </c>
    </row>
    <row r="36" spans="1:13">
      <c r="J36" s="124" t="s">
        <v>146</v>
      </c>
      <c r="K36" s="93" t="s">
        <v>946</v>
      </c>
      <c r="L36" s="93" t="s">
        <v>926</v>
      </c>
      <c r="M36" s="93" t="s">
        <v>783</v>
      </c>
    </row>
    <row r="37" spans="1:13">
      <c r="J37" s="124" t="s">
        <v>146</v>
      </c>
      <c r="K37" s="93" t="s">
        <v>946</v>
      </c>
      <c r="L37" s="93" t="s">
        <v>928</v>
      </c>
      <c r="M37" s="93" t="s">
        <v>231</v>
      </c>
    </row>
    <row r="38" spans="1:13">
      <c r="J38" s="125" t="s">
        <v>147</v>
      </c>
      <c r="K38" s="93" t="s">
        <v>947</v>
      </c>
      <c r="L38" s="93" t="s">
        <v>923</v>
      </c>
      <c r="M38" s="93" t="s">
        <v>223</v>
      </c>
    </row>
    <row r="39" spans="1:13">
      <c r="J39" s="125" t="s">
        <v>147</v>
      </c>
      <c r="K39" s="93" t="s">
        <v>947</v>
      </c>
      <c r="L39" s="93" t="s">
        <v>923</v>
      </c>
      <c r="M39" s="93" t="s">
        <v>224</v>
      </c>
    </row>
    <row r="40" spans="1:13">
      <c r="J40" s="125" t="s">
        <v>147</v>
      </c>
      <c r="K40" s="93" t="s">
        <v>947</v>
      </c>
      <c r="L40" s="93" t="s">
        <v>925</v>
      </c>
      <c r="M40" s="93" t="s">
        <v>790</v>
      </c>
    </row>
    <row r="41" spans="1:13">
      <c r="J41" s="125" t="s">
        <v>147</v>
      </c>
      <c r="K41" s="93" t="s">
        <v>947</v>
      </c>
      <c r="L41" s="93" t="s">
        <v>925</v>
      </c>
      <c r="M41" s="93" t="s">
        <v>791</v>
      </c>
    </row>
    <row r="42" spans="1:13">
      <c r="J42" s="125" t="s">
        <v>147</v>
      </c>
      <c r="K42" s="93" t="s">
        <v>947</v>
      </c>
      <c r="L42" s="93" t="s">
        <v>924</v>
      </c>
      <c r="M42" s="93" t="s">
        <v>783</v>
      </c>
    </row>
    <row r="43" spans="1:13">
      <c r="J43" s="125" t="s">
        <v>147</v>
      </c>
      <c r="K43" s="93" t="s">
        <v>947</v>
      </c>
      <c r="L43" s="93" t="s">
        <v>929</v>
      </c>
      <c r="M43" s="93" t="s">
        <v>231</v>
      </c>
    </row>
    <row r="44" spans="1:13">
      <c r="J44" s="125" t="s">
        <v>147</v>
      </c>
      <c r="K44" s="93" t="s">
        <v>947</v>
      </c>
      <c r="L44" s="93" t="s">
        <v>929</v>
      </c>
      <c r="M44" s="93" t="s">
        <v>788</v>
      </c>
    </row>
    <row r="45" spans="1:13">
      <c r="J45" s="125" t="s">
        <v>147</v>
      </c>
      <c r="K45" s="93" t="s">
        <v>947</v>
      </c>
      <c r="L45" s="93" t="s">
        <v>926</v>
      </c>
      <c r="M45" s="93" t="s">
        <v>783</v>
      </c>
    </row>
    <row r="46" spans="1:13">
      <c r="J46" s="126" t="s">
        <v>148</v>
      </c>
      <c r="K46" s="93" t="s">
        <v>948</v>
      </c>
      <c r="L46" s="93" t="s">
        <v>923</v>
      </c>
      <c r="M46" s="93" t="s">
        <v>223</v>
      </c>
    </row>
    <row r="47" spans="1:13">
      <c r="J47" s="126" t="s">
        <v>148</v>
      </c>
      <c r="K47" s="93" t="s">
        <v>948</v>
      </c>
      <c r="L47" s="93" t="s">
        <v>923</v>
      </c>
      <c r="M47" s="93" t="s">
        <v>224</v>
      </c>
    </row>
    <row r="48" spans="1:13">
      <c r="J48" s="126" t="s">
        <v>148</v>
      </c>
      <c r="K48" s="93" t="s">
        <v>948</v>
      </c>
      <c r="L48" s="93" t="s">
        <v>925</v>
      </c>
      <c r="M48" s="93" t="s">
        <v>790</v>
      </c>
    </row>
    <row r="49" spans="10:13">
      <c r="J49" s="126" t="s">
        <v>148</v>
      </c>
      <c r="K49" s="93" t="s">
        <v>948</v>
      </c>
      <c r="L49" s="93" t="s">
        <v>925</v>
      </c>
      <c r="M49" s="93" t="s">
        <v>791</v>
      </c>
    </row>
    <row r="50" spans="10:13">
      <c r="J50" s="126" t="s">
        <v>148</v>
      </c>
      <c r="K50" s="93" t="s">
        <v>948</v>
      </c>
      <c r="L50" s="93" t="s">
        <v>925</v>
      </c>
      <c r="M50" s="93" t="s">
        <v>231</v>
      </c>
    </row>
    <row r="51" spans="10:13">
      <c r="J51" s="126" t="s">
        <v>148</v>
      </c>
      <c r="K51" s="93" t="s">
        <v>948</v>
      </c>
      <c r="L51" s="93" t="s">
        <v>924</v>
      </c>
      <c r="M51" s="93" t="s">
        <v>783</v>
      </c>
    </row>
    <row r="52" spans="10:13">
      <c r="J52" s="126" t="s">
        <v>148</v>
      </c>
      <c r="K52" s="93" t="s">
        <v>948</v>
      </c>
      <c r="L52" s="93" t="s">
        <v>928</v>
      </c>
      <c r="M52" s="93" t="s">
        <v>783</v>
      </c>
    </row>
    <row r="53" spans="10:13">
      <c r="J53" s="127" t="s">
        <v>149</v>
      </c>
      <c r="K53" s="93" t="s">
        <v>949</v>
      </c>
      <c r="L53" s="93" t="s">
        <v>923</v>
      </c>
      <c r="M53" s="93" t="s">
        <v>223</v>
      </c>
    </row>
    <row r="54" spans="10:13">
      <c r="J54" s="127" t="s">
        <v>149</v>
      </c>
      <c r="K54" s="93" t="s">
        <v>949</v>
      </c>
      <c r="L54" s="93" t="s">
        <v>923</v>
      </c>
      <c r="M54" s="93" t="s">
        <v>224</v>
      </c>
    </row>
    <row r="55" spans="10:13">
      <c r="J55" s="127" t="s">
        <v>149</v>
      </c>
      <c r="K55" s="93" t="s">
        <v>949</v>
      </c>
      <c r="L55" s="93" t="s">
        <v>924</v>
      </c>
      <c r="M55" s="93" t="s">
        <v>783</v>
      </c>
    </row>
    <row r="56" spans="10:13">
      <c r="J56" s="127" t="s">
        <v>149</v>
      </c>
      <c r="K56" s="93" t="s">
        <v>949</v>
      </c>
      <c r="L56" s="93" t="s">
        <v>925</v>
      </c>
      <c r="M56" s="93" t="s">
        <v>790</v>
      </c>
    </row>
    <row r="57" spans="10:13">
      <c r="J57" s="127" t="s">
        <v>149</v>
      </c>
      <c r="K57" s="93" t="s">
        <v>949</v>
      </c>
      <c r="L57" s="93" t="s">
        <v>925</v>
      </c>
      <c r="M57" s="93" t="s">
        <v>791</v>
      </c>
    </row>
    <row r="58" spans="10:13">
      <c r="J58" s="127" t="s">
        <v>149</v>
      </c>
      <c r="K58" s="93" t="s">
        <v>949</v>
      </c>
      <c r="L58" s="93" t="s">
        <v>926</v>
      </c>
      <c r="M58" s="93" t="s">
        <v>783</v>
      </c>
    </row>
    <row r="59" spans="10:13">
      <c r="J59" s="127" t="s">
        <v>149</v>
      </c>
      <c r="K59" s="93" t="s">
        <v>949</v>
      </c>
      <c r="L59" s="93" t="s">
        <v>928</v>
      </c>
      <c r="M59" s="93" t="s">
        <v>231</v>
      </c>
    </row>
    <row r="60" spans="10:13">
      <c r="J60" s="127" t="s">
        <v>149</v>
      </c>
      <c r="K60" s="93" t="s">
        <v>949</v>
      </c>
      <c r="L60" s="93" t="s">
        <v>927</v>
      </c>
      <c r="M60" s="93" t="s">
        <v>783</v>
      </c>
    </row>
    <row r="61" spans="10:13">
      <c r="J61" s="128" t="s">
        <v>797</v>
      </c>
      <c r="K61" s="93" t="s">
        <v>950</v>
      </c>
      <c r="L61" s="93" t="s">
        <v>923</v>
      </c>
      <c r="M61" s="93" t="s">
        <v>231</v>
      </c>
    </row>
    <row r="62" spans="10:13">
      <c r="J62" s="128" t="s">
        <v>797</v>
      </c>
      <c r="K62" s="93" t="s">
        <v>950</v>
      </c>
      <c r="L62" s="93" t="s">
        <v>923</v>
      </c>
      <c r="M62" s="93" t="s">
        <v>223</v>
      </c>
    </row>
    <row r="63" spans="10:13">
      <c r="J63" s="128" t="s">
        <v>797</v>
      </c>
      <c r="K63" s="93" t="s">
        <v>950</v>
      </c>
      <c r="L63" s="93" t="s">
        <v>923</v>
      </c>
      <c r="M63" s="93" t="s">
        <v>224</v>
      </c>
    </row>
    <row r="64" spans="10:13">
      <c r="J64" s="128" t="s">
        <v>797</v>
      </c>
      <c r="K64" s="93" t="s">
        <v>950</v>
      </c>
      <c r="L64" s="93" t="s">
        <v>924</v>
      </c>
      <c r="M64" s="93" t="s">
        <v>783</v>
      </c>
    </row>
    <row r="65" spans="10:13">
      <c r="J65" s="128" t="s">
        <v>797</v>
      </c>
      <c r="K65" s="93" t="s">
        <v>950</v>
      </c>
      <c r="L65" s="93" t="s">
        <v>925</v>
      </c>
      <c r="M65" s="93" t="s">
        <v>790</v>
      </c>
    </row>
    <row r="66" spans="10:13">
      <c r="J66" s="128" t="s">
        <v>797</v>
      </c>
      <c r="K66" s="93" t="s">
        <v>950</v>
      </c>
      <c r="L66" s="93" t="s">
        <v>925</v>
      </c>
      <c r="M66" s="93" t="s">
        <v>791</v>
      </c>
    </row>
    <row r="67" spans="10:13">
      <c r="J67" s="128" t="s">
        <v>797</v>
      </c>
      <c r="K67" s="93" t="s">
        <v>950</v>
      </c>
      <c r="L67" s="93" t="s">
        <v>926</v>
      </c>
      <c r="M67" s="93" t="s">
        <v>783</v>
      </c>
    </row>
    <row r="68" spans="10:13">
      <c r="J68" s="129" t="s">
        <v>150</v>
      </c>
      <c r="K68" s="93" t="s">
        <v>951</v>
      </c>
      <c r="L68" s="93" t="s">
        <v>923</v>
      </c>
      <c r="M68" s="93" t="s">
        <v>223</v>
      </c>
    </row>
    <row r="69" spans="10:13">
      <c r="J69" s="129" t="s">
        <v>150</v>
      </c>
      <c r="K69" s="93" t="s">
        <v>951</v>
      </c>
      <c r="L69" s="93" t="s">
        <v>923</v>
      </c>
      <c r="M69" s="93" t="s">
        <v>224</v>
      </c>
    </row>
    <row r="70" spans="10:13">
      <c r="J70" s="129" t="s">
        <v>150</v>
      </c>
      <c r="K70" s="93" t="s">
        <v>951</v>
      </c>
      <c r="L70" s="93" t="s">
        <v>923</v>
      </c>
      <c r="M70" s="93" t="s">
        <v>231</v>
      </c>
    </row>
    <row r="71" spans="10:13">
      <c r="J71" s="129" t="s">
        <v>150</v>
      </c>
      <c r="K71" s="93" t="s">
        <v>951</v>
      </c>
      <c r="L71" s="93" t="s">
        <v>924</v>
      </c>
      <c r="M71" s="93" t="s">
        <v>783</v>
      </c>
    </row>
    <row r="72" spans="10:13">
      <c r="J72" s="129" t="s">
        <v>150</v>
      </c>
      <c r="K72" s="93" t="s">
        <v>951</v>
      </c>
      <c r="L72" s="93" t="s">
        <v>925</v>
      </c>
      <c r="M72" s="93" t="s">
        <v>790</v>
      </c>
    </row>
    <row r="73" spans="10:13">
      <c r="J73" s="129" t="s">
        <v>150</v>
      </c>
      <c r="K73" s="93" t="s">
        <v>951</v>
      </c>
      <c r="L73" s="93" t="s">
        <v>925</v>
      </c>
      <c r="M73" s="93" t="s">
        <v>791</v>
      </c>
    </row>
    <row r="74" spans="10:13">
      <c r="J74" s="129" t="s">
        <v>150</v>
      </c>
      <c r="K74" s="93" t="s">
        <v>951</v>
      </c>
      <c r="L74" s="93" t="s">
        <v>926</v>
      </c>
      <c r="M74" s="93" t="s">
        <v>783</v>
      </c>
    </row>
    <row r="75" spans="10:13">
      <c r="J75" s="130" t="s">
        <v>798</v>
      </c>
      <c r="K75" s="93" t="s">
        <v>952</v>
      </c>
      <c r="L75" s="93" t="s">
        <v>783</v>
      </c>
      <c r="M75" s="93" t="s">
        <v>789</v>
      </c>
    </row>
    <row r="76" spans="10:13">
      <c r="J76" s="130" t="s">
        <v>799</v>
      </c>
      <c r="K76" s="93" t="s">
        <v>953</v>
      </c>
      <c r="L76" s="93" t="s">
        <v>783</v>
      </c>
      <c r="M76" s="93" t="s">
        <v>231</v>
      </c>
    </row>
  </sheetData>
  <mergeCells count="71">
    <mergeCell ref="BV8:BV9"/>
    <mergeCell ref="BV10:BV11"/>
    <mergeCell ref="BV12:BV13"/>
    <mergeCell ref="BQ1:BR1"/>
    <mergeCell ref="AA3:AA5"/>
    <mergeCell ref="AB3:AB5"/>
    <mergeCell ref="X1:AB1"/>
    <mergeCell ref="AD1:AQ1"/>
    <mergeCell ref="AD2:AI2"/>
    <mergeCell ref="AJ2:AM2"/>
    <mergeCell ref="AN2:AQ2"/>
    <mergeCell ref="AD3:AE3"/>
    <mergeCell ref="AF3:AF5"/>
    <mergeCell ref="AG3:AH3"/>
    <mergeCell ref="AO3:AP3"/>
    <mergeCell ref="AQ3:AQ5"/>
    <mergeCell ref="Y4:Y5"/>
    <mergeCell ref="X2:Z2"/>
    <mergeCell ref="X3:Y3"/>
    <mergeCell ref="X4:X5"/>
    <mergeCell ref="Z3:Z5"/>
    <mergeCell ref="O1:P1"/>
    <mergeCell ref="U1:V1"/>
    <mergeCell ref="A1:E1"/>
    <mergeCell ref="AA2:AB2"/>
    <mergeCell ref="J1:M1"/>
    <mergeCell ref="G1:H1"/>
    <mergeCell ref="R1:S1"/>
    <mergeCell ref="AD4:AD5"/>
    <mergeCell ref="AE4:AE5"/>
    <mergeCell ref="AG4:AG5"/>
    <mergeCell ref="AH4:AH5"/>
    <mergeCell ref="AK4:AK5"/>
    <mergeCell ref="AL4:AL5"/>
    <mergeCell ref="AO4:AO5"/>
    <mergeCell ref="AP4:AP5"/>
    <mergeCell ref="AI3:AI5"/>
    <mergeCell ref="AJ3:AJ5"/>
    <mergeCell ref="AK3:AL3"/>
    <mergeCell ref="AM3:AM5"/>
    <mergeCell ref="AN3:AN5"/>
    <mergeCell ref="AS3:AT3"/>
    <mergeCell ref="AU3:AU5"/>
    <mergeCell ref="AV3:AW3"/>
    <mergeCell ref="AX3:AX5"/>
    <mergeCell ref="AY3:AY5"/>
    <mergeCell ref="AS4:AS5"/>
    <mergeCell ref="AT4:AT5"/>
    <mergeCell ref="AV4:AV5"/>
    <mergeCell ref="AW4:AW5"/>
    <mergeCell ref="BF3:BF5"/>
    <mergeCell ref="BA4:BA5"/>
    <mergeCell ref="BD4:BD5"/>
    <mergeCell ref="BE4:BE5"/>
    <mergeCell ref="AZ4:AZ5"/>
    <mergeCell ref="BL1:BO1"/>
    <mergeCell ref="BL2:BO2"/>
    <mergeCell ref="BG3:BH3"/>
    <mergeCell ref="BI3:BI5"/>
    <mergeCell ref="BJ3:BJ5"/>
    <mergeCell ref="BG4:BG5"/>
    <mergeCell ref="BH4:BH5"/>
    <mergeCell ref="AS1:BJ1"/>
    <mergeCell ref="AS2:AX2"/>
    <mergeCell ref="AY2:BB2"/>
    <mergeCell ref="BC2:BF2"/>
    <mergeCell ref="BG2:BJ2"/>
    <mergeCell ref="AZ3:BA3"/>
    <mergeCell ref="BB3:BB5"/>
    <mergeCell ref="BC3:BC5"/>
    <mergeCell ref="BD3:BE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91C6-E729-4820-BD97-A5250C0CEDCA}">
  <sheetPr>
    <tabColor theme="0" tint="-0.499984740745262"/>
  </sheetPr>
  <dimension ref="A1:B7"/>
  <sheetViews>
    <sheetView zoomScale="115" zoomScaleNormal="115" workbookViewId="0">
      <selection activeCell="B6" sqref="B6"/>
    </sheetView>
  </sheetViews>
  <sheetFormatPr defaultColWidth="37.875" defaultRowHeight="16.5"/>
  <cols>
    <col min="1" max="1" width="59.5" customWidth="1"/>
    <col min="2" max="2" width="32.75" customWidth="1"/>
  </cols>
  <sheetData>
    <row r="1" spans="1:2" ht="27">
      <c r="A1" s="202" t="s">
        <v>1201</v>
      </c>
      <c r="B1" s="202"/>
    </row>
    <row r="2" spans="1:2">
      <c r="A2" s="160" t="s">
        <v>1184</v>
      </c>
      <c r="B2" s="161" t="s">
        <v>1189</v>
      </c>
    </row>
    <row r="3" spans="1:2">
      <c r="A3" s="161" t="s">
        <v>1202</v>
      </c>
      <c r="B3" s="161" t="s">
        <v>1203</v>
      </c>
    </row>
    <row r="4" spans="1:2">
      <c r="A4" s="50" t="s">
        <v>537</v>
      </c>
      <c r="B4" s="162" t="s">
        <v>632</v>
      </c>
    </row>
    <row r="5" spans="1:2">
      <c r="A5" s="50" t="s">
        <v>538</v>
      </c>
      <c r="B5" s="162" t="s">
        <v>633</v>
      </c>
    </row>
    <row r="6" spans="1:2">
      <c r="A6" s="50" t="s">
        <v>539</v>
      </c>
      <c r="B6" s="162" t="s">
        <v>635</v>
      </c>
    </row>
    <row r="7" spans="1:2">
      <c r="A7" s="50" t="s">
        <v>540</v>
      </c>
      <c r="B7" s="162" t="s">
        <v>637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工作表31">
    <tabColor theme="0" tint="-0.499984740745262"/>
  </sheetPr>
  <dimension ref="A1:E98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E6"/>
    </sheetView>
  </sheetViews>
  <sheetFormatPr defaultColWidth="10.625" defaultRowHeight="25.5" customHeight="1"/>
  <cols>
    <col min="1" max="1" width="45.875" style="49" bestFit="1" customWidth="1"/>
    <col min="2" max="2" width="41.75" bestFit="1" customWidth="1"/>
    <col min="3" max="3" width="129.625" customWidth="1"/>
    <col min="4" max="4" width="19.375" bestFit="1" customWidth="1"/>
    <col min="5" max="5" width="15" bestFit="1" customWidth="1"/>
  </cols>
  <sheetData>
    <row r="1" spans="1:5" ht="25.5" customHeight="1">
      <c r="A1" s="202" t="s">
        <v>1182</v>
      </c>
      <c r="B1" s="202"/>
      <c r="C1" s="202"/>
      <c r="D1" s="202"/>
      <c r="E1" s="202"/>
    </row>
    <row r="2" spans="1:5" ht="25.5" customHeight="1">
      <c r="A2" s="160" t="s">
        <v>1184</v>
      </c>
      <c r="B2" s="161" t="s">
        <v>1185</v>
      </c>
      <c r="C2" s="161" t="s">
        <v>1186</v>
      </c>
      <c r="D2" s="161" t="s">
        <v>1187</v>
      </c>
      <c r="E2" s="161" t="s">
        <v>1180</v>
      </c>
    </row>
    <row r="3" spans="1:5" ht="25.5" customHeight="1">
      <c r="A3" s="161" t="s">
        <v>257</v>
      </c>
      <c r="B3" s="161" t="s">
        <v>510</v>
      </c>
      <c r="C3" s="161" t="s">
        <v>377</v>
      </c>
      <c r="D3" s="161" t="s">
        <v>1188</v>
      </c>
      <c r="E3" s="161" t="s">
        <v>1181</v>
      </c>
    </row>
    <row r="4" spans="1:5" ht="25.5" customHeight="1">
      <c r="A4" s="50" t="s">
        <v>537</v>
      </c>
      <c r="B4" s="162" t="s">
        <v>632</v>
      </c>
      <c r="C4" s="45" t="s">
        <v>358</v>
      </c>
      <c r="D4" s="45"/>
      <c r="E4" s="77" t="b">
        <v>0</v>
      </c>
    </row>
    <row r="5" spans="1:5" ht="25.5" customHeight="1">
      <c r="A5" s="50" t="s">
        <v>538</v>
      </c>
      <c r="B5" s="162" t="s">
        <v>633</v>
      </c>
      <c r="C5" s="45" t="s">
        <v>517</v>
      </c>
      <c r="D5" s="45"/>
      <c r="E5" s="77" t="b">
        <v>0</v>
      </c>
    </row>
    <row r="6" spans="1:5" ht="25.5" customHeight="1">
      <c r="A6" s="50" t="s">
        <v>539</v>
      </c>
      <c r="B6" s="162" t="s">
        <v>635</v>
      </c>
      <c r="C6" s="45" t="s">
        <v>634</v>
      </c>
      <c r="D6" s="45"/>
      <c r="E6" s="77" t="b">
        <v>0</v>
      </c>
    </row>
    <row r="7" spans="1:5" ht="25.5" customHeight="1">
      <c r="A7" s="50" t="s">
        <v>540</v>
      </c>
      <c r="B7" s="162" t="s">
        <v>637</v>
      </c>
      <c r="C7" s="45" t="s">
        <v>636</v>
      </c>
      <c r="D7" s="45"/>
      <c r="E7" s="77" t="b">
        <v>0</v>
      </c>
    </row>
    <row r="8" spans="1:5" ht="25.5" customHeight="1">
      <c r="A8" s="50" t="s">
        <v>541</v>
      </c>
      <c r="B8" s="162" t="s">
        <v>639</v>
      </c>
      <c r="C8" s="45" t="s">
        <v>638</v>
      </c>
      <c r="D8" s="45"/>
      <c r="E8" s="77" t="b">
        <v>0</v>
      </c>
    </row>
    <row r="9" spans="1:5" ht="25.5" customHeight="1">
      <c r="A9" s="50" t="s">
        <v>542</v>
      </c>
      <c r="B9" s="162" t="s">
        <v>640</v>
      </c>
      <c r="C9" s="45" t="s">
        <v>360</v>
      </c>
      <c r="D9" s="45"/>
      <c r="E9" s="77" t="b">
        <v>0</v>
      </c>
    </row>
    <row r="10" spans="1:5" ht="25.5" customHeight="1">
      <c r="A10" s="50" t="s">
        <v>543</v>
      </c>
      <c r="B10" s="162" t="s">
        <v>642</v>
      </c>
      <c r="C10" s="45" t="s">
        <v>641</v>
      </c>
      <c r="D10" s="45"/>
      <c r="E10" s="77" t="b">
        <v>0</v>
      </c>
    </row>
    <row r="11" spans="1:5" ht="25.5" customHeight="1">
      <c r="A11" s="50" t="s">
        <v>544</v>
      </c>
      <c r="B11" s="162" t="s">
        <v>645</v>
      </c>
      <c r="C11" s="45" t="s">
        <v>643</v>
      </c>
      <c r="D11" s="45"/>
      <c r="E11" s="77" t="b">
        <v>0</v>
      </c>
    </row>
    <row r="12" spans="1:5" ht="25.5" customHeight="1">
      <c r="A12" s="50" t="s">
        <v>545</v>
      </c>
      <c r="B12" s="162" t="s">
        <v>644</v>
      </c>
      <c r="C12" s="45" t="s">
        <v>353</v>
      </c>
      <c r="D12" s="45"/>
      <c r="E12" s="77" t="b">
        <v>0</v>
      </c>
    </row>
    <row r="13" spans="1:5" ht="25.5" customHeight="1">
      <c r="A13" s="50" t="s">
        <v>546</v>
      </c>
      <c r="B13" s="162" t="s">
        <v>648</v>
      </c>
      <c r="C13" s="45" t="s">
        <v>646</v>
      </c>
      <c r="D13" s="45"/>
      <c r="E13" s="77" t="b">
        <v>0</v>
      </c>
    </row>
    <row r="14" spans="1:5" ht="25.5" customHeight="1">
      <c r="A14" s="50" t="s">
        <v>547</v>
      </c>
      <c r="B14" s="162" t="s">
        <v>649</v>
      </c>
      <c r="C14" s="45" t="s">
        <v>647</v>
      </c>
      <c r="D14" s="45"/>
      <c r="E14" s="77" t="b">
        <v>0</v>
      </c>
    </row>
    <row r="15" spans="1:5" ht="25.5" customHeight="1">
      <c r="A15" s="50" t="s">
        <v>548</v>
      </c>
      <c r="B15" s="162" t="s">
        <v>650</v>
      </c>
      <c r="C15" s="45" t="s">
        <v>359</v>
      </c>
      <c r="D15" s="45"/>
      <c r="E15" s="77" t="b">
        <v>0</v>
      </c>
    </row>
    <row r="16" spans="1:5" ht="25.5" customHeight="1">
      <c r="A16" s="50" t="s">
        <v>549</v>
      </c>
      <c r="B16" s="162" t="s">
        <v>652</v>
      </c>
      <c r="C16" s="45" t="s">
        <v>651</v>
      </c>
      <c r="D16" s="45"/>
      <c r="E16" s="77" t="b">
        <v>0</v>
      </c>
    </row>
    <row r="17" spans="1:5" ht="25.5" customHeight="1">
      <c r="A17" s="50" t="s">
        <v>550</v>
      </c>
      <c r="B17" s="162" t="s">
        <v>656</v>
      </c>
      <c r="C17" s="45" t="s">
        <v>653</v>
      </c>
      <c r="D17" s="45"/>
      <c r="E17" s="77" t="b">
        <v>0</v>
      </c>
    </row>
    <row r="18" spans="1:5" ht="25.5" customHeight="1">
      <c r="A18" s="50" t="s">
        <v>551</v>
      </c>
      <c r="B18" s="162" t="s">
        <v>655</v>
      </c>
      <c r="C18" s="45" t="s">
        <v>654</v>
      </c>
      <c r="D18" s="45"/>
      <c r="E18" s="77" t="b">
        <v>0</v>
      </c>
    </row>
    <row r="19" spans="1:5" ht="25.5" customHeight="1">
      <c r="A19" s="50" t="s">
        <v>552</v>
      </c>
      <c r="B19" s="162" t="s">
        <v>657</v>
      </c>
      <c r="C19" s="45" t="s">
        <v>518</v>
      </c>
      <c r="D19" s="45"/>
      <c r="E19" s="77" t="b">
        <v>0</v>
      </c>
    </row>
    <row r="20" spans="1:5" ht="25.5" customHeight="1">
      <c r="A20" s="50" t="s">
        <v>553</v>
      </c>
      <c r="B20" s="162" t="s">
        <v>659</v>
      </c>
      <c r="C20" s="45" t="s">
        <v>658</v>
      </c>
      <c r="D20" s="45"/>
      <c r="E20" s="77" t="b">
        <v>0</v>
      </c>
    </row>
    <row r="21" spans="1:5" ht="25.5" customHeight="1">
      <c r="A21" s="50" t="s">
        <v>554</v>
      </c>
      <c r="B21" s="162" t="s">
        <v>660</v>
      </c>
      <c r="C21" s="45" t="s">
        <v>519</v>
      </c>
      <c r="D21" s="45"/>
      <c r="E21" s="77" t="b">
        <v>0</v>
      </c>
    </row>
    <row r="22" spans="1:5" ht="25.5" customHeight="1">
      <c r="A22" s="50" t="s">
        <v>555</v>
      </c>
      <c r="B22" s="162" t="s">
        <v>661</v>
      </c>
      <c r="C22" s="45" t="s">
        <v>520</v>
      </c>
      <c r="D22" s="45"/>
      <c r="E22" s="77" t="b">
        <v>0</v>
      </c>
    </row>
    <row r="23" spans="1:5" ht="25.5" customHeight="1">
      <c r="A23" s="50" t="s">
        <v>556</v>
      </c>
      <c r="B23" s="162" t="s">
        <v>665</v>
      </c>
      <c r="C23" s="45" t="s">
        <v>521</v>
      </c>
      <c r="D23" s="45"/>
      <c r="E23" s="77" t="b">
        <v>0</v>
      </c>
    </row>
    <row r="24" spans="1:5" ht="25.5" customHeight="1">
      <c r="A24" s="50" t="s">
        <v>557</v>
      </c>
      <c r="B24" s="162" t="s">
        <v>663</v>
      </c>
      <c r="C24" s="45" t="s">
        <v>522</v>
      </c>
      <c r="D24" s="45"/>
      <c r="E24" s="77" t="b">
        <v>0</v>
      </c>
    </row>
    <row r="25" spans="1:5" ht="25.5" customHeight="1">
      <c r="A25" s="50" t="s">
        <v>558</v>
      </c>
      <c r="B25" s="162" t="s">
        <v>664</v>
      </c>
      <c r="C25" s="45" t="s">
        <v>662</v>
      </c>
      <c r="D25" s="45"/>
      <c r="E25" s="77" t="b">
        <v>0</v>
      </c>
    </row>
    <row r="26" spans="1:5" ht="25.5" customHeight="1">
      <c r="A26" s="50" t="s">
        <v>559</v>
      </c>
      <c r="B26" s="162" t="s">
        <v>667</v>
      </c>
      <c r="C26" s="45" t="s">
        <v>666</v>
      </c>
      <c r="D26" s="45"/>
      <c r="E26" s="77" t="b">
        <v>0</v>
      </c>
    </row>
    <row r="27" spans="1:5" ht="25.5" customHeight="1">
      <c r="A27" s="50" t="s">
        <v>560</v>
      </c>
      <c r="B27" s="162" t="s">
        <v>668</v>
      </c>
      <c r="C27" s="45" t="s">
        <v>523</v>
      </c>
      <c r="D27" s="45"/>
      <c r="E27" s="77" t="b">
        <v>0</v>
      </c>
    </row>
    <row r="28" spans="1:5" ht="25.5" customHeight="1">
      <c r="A28" s="50" t="s">
        <v>561</v>
      </c>
      <c r="B28" s="162" t="s">
        <v>670</v>
      </c>
      <c r="C28" s="45" t="s">
        <v>669</v>
      </c>
      <c r="D28" s="45"/>
      <c r="E28" s="77" t="b">
        <v>0</v>
      </c>
    </row>
    <row r="29" spans="1:5" ht="25.5" customHeight="1">
      <c r="A29" s="50" t="s">
        <v>562</v>
      </c>
      <c r="B29" s="162" t="s">
        <v>672</v>
      </c>
      <c r="C29" s="45" t="s">
        <v>671</v>
      </c>
      <c r="D29" s="45"/>
      <c r="E29" s="77" t="b">
        <v>0</v>
      </c>
    </row>
    <row r="30" spans="1:5" ht="25.5" customHeight="1">
      <c r="A30" s="50" t="s">
        <v>563</v>
      </c>
      <c r="B30" s="162" t="s">
        <v>674</v>
      </c>
      <c r="C30" s="45" t="s">
        <v>673</v>
      </c>
      <c r="D30" s="45"/>
      <c r="E30" s="77" t="b">
        <v>0</v>
      </c>
    </row>
    <row r="31" spans="1:5" ht="25.5" customHeight="1">
      <c r="A31" s="50" t="s">
        <v>564</v>
      </c>
      <c r="B31" s="162" t="s">
        <v>677</v>
      </c>
      <c r="C31" s="45" t="s">
        <v>524</v>
      </c>
      <c r="D31" s="45"/>
      <c r="E31" s="77" t="b">
        <v>0</v>
      </c>
    </row>
    <row r="32" spans="1:5" ht="25.5" customHeight="1">
      <c r="A32" s="50" t="s">
        <v>565</v>
      </c>
      <c r="B32" s="162" t="s">
        <v>675</v>
      </c>
      <c r="C32" s="45" t="s">
        <v>525</v>
      </c>
      <c r="D32" s="45"/>
      <c r="E32" s="77" t="b">
        <v>0</v>
      </c>
    </row>
    <row r="33" spans="1:5" ht="25.5" customHeight="1">
      <c r="A33" s="50" t="s">
        <v>566</v>
      </c>
      <c r="B33" s="162" t="s">
        <v>676</v>
      </c>
      <c r="C33" s="45" t="s">
        <v>526</v>
      </c>
      <c r="D33" s="45"/>
      <c r="E33" s="77" t="b">
        <v>0</v>
      </c>
    </row>
    <row r="34" spans="1:5" ht="25.5" customHeight="1">
      <c r="A34" s="50" t="s">
        <v>567</v>
      </c>
      <c r="B34" s="162" t="s">
        <v>679</v>
      </c>
      <c r="C34" s="45" t="s">
        <v>678</v>
      </c>
      <c r="D34" s="45"/>
      <c r="E34" s="77" t="b">
        <v>0</v>
      </c>
    </row>
    <row r="35" spans="1:5" ht="25.5" customHeight="1">
      <c r="A35" s="50" t="s">
        <v>568</v>
      </c>
      <c r="B35" s="162" t="s">
        <v>680</v>
      </c>
      <c r="C35" s="45" t="s">
        <v>527</v>
      </c>
      <c r="D35" s="45"/>
      <c r="E35" s="77" t="b">
        <v>0</v>
      </c>
    </row>
    <row r="36" spans="1:5" ht="25.5" customHeight="1">
      <c r="A36" s="50" t="s">
        <v>569</v>
      </c>
      <c r="B36" s="162" t="s">
        <v>682</v>
      </c>
      <c r="C36" s="45" t="s">
        <v>681</v>
      </c>
      <c r="D36" s="45"/>
      <c r="E36" s="77" t="b">
        <v>0</v>
      </c>
    </row>
    <row r="37" spans="1:5" ht="25.5" customHeight="1">
      <c r="A37" s="50" t="s">
        <v>570</v>
      </c>
      <c r="B37" s="162" t="s">
        <v>685</v>
      </c>
      <c r="C37" s="45" t="s">
        <v>683</v>
      </c>
      <c r="D37" s="45"/>
      <c r="E37" s="77" t="b">
        <v>0</v>
      </c>
    </row>
    <row r="38" spans="1:5" ht="25.5" customHeight="1">
      <c r="A38" s="50" t="s">
        <v>571</v>
      </c>
      <c r="B38" s="162" t="s">
        <v>686</v>
      </c>
      <c r="C38" s="45" t="s">
        <v>684</v>
      </c>
      <c r="D38" s="45"/>
      <c r="E38" s="77" t="b">
        <v>0</v>
      </c>
    </row>
    <row r="39" spans="1:5" ht="25.5" customHeight="1">
      <c r="A39" s="50" t="s">
        <v>572</v>
      </c>
      <c r="B39" s="162" t="s">
        <v>688</v>
      </c>
      <c r="C39" s="45" t="s">
        <v>687</v>
      </c>
      <c r="D39" s="45"/>
      <c r="E39" s="77" t="b">
        <v>0</v>
      </c>
    </row>
    <row r="40" spans="1:5" ht="25.5" customHeight="1">
      <c r="A40" s="50" t="s">
        <v>573</v>
      </c>
      <c r="B40" s="162" t="s">
        <v>690</v>
      </c>
      <c r="C40" s="45" t="s">
        <v>689</v>
      </c>
      <c r="D40" s="45"/>
      <c r="E40" s="77" t="b">
        <v>0</v>
      </c>
    </row>
    <row r="41" spans="1:5" ht="25.5" customHeight="1">
      <c r="A41" s="50" t="s">
        <v>574</v>
      </c>
      <c r="B41" s="162" t="s">
        <v>692</v>
      </c>
      <c r="C41" s="45" t="s">
        <v>691</v>
      </c>
      <c r="D41" s="45"/>
      <c r="E41" s="77" t="b">
        <v>0</v>
      </c>
    </row>
    <row r="42" spans="1:5" ht="25.5" customHeight="1">
      <c r="A42" s="50" t="s">
        <v>575</v>
      </c>
      <c r="B42" s="162" t="s">
        <v>694</v>
      </c>
      <c r="C42" s="45" t="s">
        <v>693</v>
      </c>
      <c r="D42" s="45"/>
      <c r="E42" s="77" t="b">
        <v>0</v>
      </c>
    </row>
    <row r="43" spans="1:5" ht="25.5" customHeight="1">
      <c r="A43" s="50" t="s">
        <v>576</v>
      </c>
      <c r="B43" s="162" t="s">
        <v>696</v>
      </c>
      <c r="C43" s="45" t="s">
        <v>695</v>
      </c>
      <c r="D43" s="45"/>
      <c r="E43" s="77" t="b">
        <v>0</v>
      </c>
    </row>
    <row r="44" spans="1:5" ht="25.5" customHeight="1">
      <c r="A44" s="50" t="s">
        <v>577</v>
      </c>
      <c r="B44" s="162" t="s">
        <v>698</v>
      </c>
      <c r="C44" s="45" t="s">
        <v>697</v>
      </c>
      <c r="D44" s="45"/>
      <c r="E44" s="77" t="b">
        <v>0</v>
      </c>
    </row>
    <row r="45" spans="1:5" ht="25.5" customHeight="1">
      <c r="A45" s="50" t="s">
        <v>578</v>
      </c>
      <c r="B45" s="162" t="s">
        <v>700</v>
      </c>
      <c r="C45" s="45" t="s">
        <v>699</v>
      </c>
      <c r="D45" s="45"/>
      <c r="E45" s="77" t="b">
        <v>0</v>
      </c>
    </row>
    <row r="46" spans="1:5" ht="25.5" customHeight="1">
      <c r="A46" s="50" t="s">
        <v>579</v>
      </c>
      <c r="B46" s="162" t="s">
        <v>702</v>
      </c>
      <c r="C46" s="45" t="s">
        <v>701</v>
      </c>
      <c r="D46" s="45"/>
      <c r="E46" s="77" t="b">
        <v>0</v>
      </c>
    </row>
    <row r="47" spans="1:5" ht="25.5" customHeight="1">
      <c r="A47" s="50" t="s">
        <v>580</v>
      </c>
      <c r="B47" s="162" t="s">
        <v>704</v>
      </c>
      <c r="C47" s="45" t="s">
        <v>703</v>
      </c>
      <c r="D47" s="45"/>
      <c r="E47" s="77" t="b">
        <v>0</v>
      </c>
    </row>
    <row r="48" spans="1:5" ht="25.5" customHeight="1">
      <c r="A48" s="50" t="s">
        <v>581</v>
      </c>
      <c r="B48" s="162" t="s">
        <v>706</v>
      </c>
      <c r="C48" s="45" t="s">
        <v>705</v>
      </c>
      <c r="D48" s="45"/>
      <c r="E48" s="77" t="b">
        <v>0</v>
      </c>
    </row>
    <row r="49" spans="1:5" ht="25.5" customHeight="1">
      <c r="A49" s="50" t="s">
        <v>582</v>
      </c>
      <c r="B49" s="162" t="s">
        <v>708</v>
      </c>
      <c r="C49" s="45" t="s">
        <v>707</v>
      </c>
      <c r="D49" s="45"/>
      <c r="E49" s="77" t="b">
        <v>0</v>
      </c>
    </row>
    <row r="50" spans="1:5" ht="25.5" customHeight="1">
      <c r="A50" s="50" t="s">
        <v>583</v>
      </c>
      <c r="B50" s="162" t="s">
        <v>710</v>
      </c>
      <c r="C50" s="45" t="s">
        <v>709</v>
      </c>
      <c r="D50" s="45"/>
      <c r="E50" s="77" t="b">
        <v>0</v>
      </c>
    </row>
    <row r="51" spans="1:5" ht="25.5" customHeight="1">
      <c r="A51" s="50" t="s">
        <v>584</v>
      </c>
      <c r="B51" s="162" t="s">
        <v>712</v>
      </c>
      <c r="C51" s="45" t="s">
        <v>711</v>
      </c>
      <c r="D51" s="45"/>
      <c r="E51" s="77" t="b">
        <v>0</v>
      </c>
    </row>
    <row r="52" spans="1:5" ht="25.5" customHeight="1">
      <c r="A52" s="50" t="s">
        <v>585</v>
      </c>
      <c r="B52" s="162" t="s">
        <v>714</v>
      </c>
      <c r="C52" s="45" t="s">
        <v>713</v>
      </c>
      <c r="D52" s="45"/>
      <c r="E52" s="77" t="b">
        <v>0</v>
      </c>
    </row>
    <row r="53" spans="1:5" ht="25.5" customHeight="1">
      <c r="A53" s="50" t="s">
        <v>586</v>
      </c>
      <c r="B53" s="162" t="s">
        <v>716</v>
      </c>
      <c r="C53" s="45" t="s">
        <v>715</v>
      </c>
      <c r="D53" s="45"/>
      <c r="E53" s="77" t="b">
        <v>0</v>
      </c>
    </row>
    <row r="54" spans="1:5" ht="25.5" customHeight="1">
      <c r="A54" s="50" t="s">
        <v>587</v>
      </c>
      <c r="B54" s="162" t="s">
        <v>718</v>
      </c>
      <c r="C54" s="45" t="s">
        <v>717</v>
      </c>
      <c r="D54" s="45"/>
      <c r="E54" s="77" t="b">
        <v>0</v>
      </c>
    </row>
    <row r="55" spans="1:5" ht="25.5" customHeight="1">
      <c r="A55" s="50" t="s">
        <v>588</v>
      </c>
      <c r="B55" s="162" t="s">
        <v>720</v>
      </c>
      <c r="C55" s="45" t="s">
        <v>719</v>
      </c>
      <c r="D55" s="45"/>
      <c r="E55" s="77" t="b">
        <v>0</v>
      </c>
    </row>
    <row r="56" spans="1:5" ht="25.5" customHeight="1">
      <c r="A56" s="50" t="s">
        <v>589</v>
      </c>
      <c r="B56" s="162" t="s">
        <v>722</v>
      </c>
      <c r="C56" s="45" t="s">
        <v>721</v>
      </c>
      <c r="D56" s="45"/>
      <c r="E56" s="77" t="b">
        <v>0</v>
      </c>
    </row>
    <row r="57" spans="1:5" ht="25.5" customHeight="1">
      <c r="A57" s="50" t="s">
        <v>590</v>
      </c>
      <c r="B57" s="162" t="s">
        <v>724</v>
      </c>
      <c r="C57" s="45" t="s">
        <v>723</v>
      </c>
      <c r="D57" s="45"/>
      <c r="E57" s="77" t="b">
        <v>0</v>
      </c>
    </row>
    <row r="58" spans="1:5" ht="25.5" customHeight="1">
      <c r="A58" s="50" t="s">
        <v>591</v>
      </c>
      <c r="B58" s="162" t="s">
        <v>726</v>
      </c>
      <c r="C58" s="45" t="s">
        <v>725</v>
      </c>
      <c r="D58" s="45"/>
      <c r="E58" s="77" t="b">
        <v>0</v>
      </c>
    </row>
    <row r="59" spans="1:5" ht="25.5" customHeight="1">
      <c r="A59" s="50" t="s">
        <v>592</v>
      </c>
      <c r="B59" s="162" t="s">
        <v>728</v>
      </c>
      <c r="C59" s="45" t="s">
        <v>727</v>
      </c>
      <c r="D59" s="45"/>
      <c r="E59" s="77" t="b">
        <v>0</v>
      </c>
    </row>
    <row r="60" spans="1:5" ht="25.5" customHeight="1">
      <c r="A60" s="50" t="s">
        <v>593</v>
      </c>
      <c r="B60" s="162" t="s">
        <v>730</v>
      </c>
      <c r="C60" s="45" t="s">
        <v>729</v>
      </c>
      <c r="D60" s="45"/>
      <c r="E60" s="77" t="b">
        <v>0</v>
      </c>
    </row>
    <row r="61" spans="1:5" ht="25.5" customHeight="1">
      <c r="A61" s="50" t="s">
        <v>594</v>
      </c>
      <c r="B61" s="162" t="s">
        <v>732</v>
      </c>
      <c r="C61" s="45" t="s">
        <v>731</v>
      </c>
      <c r="D61" s="45"/>
      <c r="E61" s="77" t="b">
        <v>0</v>
      </c>
    </row>
    <row r="62" spans="1:5" ht="25.5" customHeight="1">
      <c r="A62" s="50" t="s">
        <v>595</v>
      </c>
      <c r="B62" s="162" t="s">
        <v>734</v>
      </c>
      <c r="C62" s="45" t="s">
        <v>733</v>
      </c>
      <c r="D62" s="45"/>
      <c r="E62" s="77" t="b">
        <v>0</v>
      </c>
    </row>
    <row r="63" spans="1:5" ht="25.5" customHeight="1">
      <c r="A63" s="50" t="s">
        <v>596</v>
      </c>
      <c r="B63" s="162" t="s">
        <v>736</v>
      </c>
      <c r="C63" s="45" t="s">
        <v>735</v>
      </c>
      <c r="D63" s="45"/>
      <c r="E63" s="77" t="b">
        <v>0</v>
      </c>
    </row>
    <row r="64" spans="1:5" ht="25.5" customHeight="1">
      <c r="A64" s="50" t="s">
        <v>597</v>
      </c>
      <c r="B64" s="162" t="s">
        <v>738</v>
      </c>
      <c r="C64" s="45" t="s">
        <v>737</v>
      </c>
      <c r="D64" s="45"/>
      <c r="E64" s="77" t="b">
        <v>0</v>
      </c>
    </row>
    <row r="65" spans="1:5" ht="25.5" customHeight="1">
      <c r="A65" s="50" t="s">
        <v>598</v>
      </c>
      <c r="B65" s="162" t="s">
        <v>740</v>
      </c>
      <c r="C65" s="45" t="s">
        <v>739</v>
      </c>
      <c r="D65" s="45"/>
      <c r="E65" s="77" t="b">
        <v>0</v>
      </c>
    </row>
    <row r="66" spans="1:5" ht="25.5" customHeight="1">
      <c r="A66" s="50" t="s">
        <v>599</v>
      </c>
      <c r="B66" s="162" t="s">
        <v>742</v>
      </c>
      <c r="C66" s="45" t="s">
        <v>741</v>
      </c>
      <c r="D66" s="45"/>
      <c r="E66" s="77" t="b">
        <v>0</v>
      </c>
    </row>
    <row r="67" spans="1:5" ht="25.5" customHeight="1">
      <c r="A67" s="50" t="s">
        <v>600</v>
      </c>
      <c r="B67" s="162" t="s">
        <v>744</v>
      </c>
      <c r="C67" s="45" t="s">
        <v>743</v>
      </c>
      <c r="D67" s="45"/>
      <c r="E67" s="77" t="b">
        <v>0</v>
      </c>
    </row>
    <row r="68" spans="1:5" ht="25.5" customHeight="1">
      <c r="A68" s="50" t="s">
        <v>601</v>
      </c>
      <c r="B68" s="162" t="s">
        <v>746</v>
      </c>
      <c r="C68" s="45" t="s">
        <v>745</v>
      </c>
      <c r="D68" s="45"/>
      <c r="E68" s="77" t="b">
        <v>0</v>
      </c>
    </row>
    <row r="69" spans="1:5" ht="25.5" customHeight="1">
      <c r="A69" s="50" t="s">
        <v>602</v>
      </c>
      <c r="B69" s="162" t="s">
        <v>748</v>
      </c>
      <c r="C69" s="45" t="s">
        <v>747</v>
      </c>
      <c r="D69" s="45"/>
      <c r="E69" s="77" t="b">
        <v>0</v>
      </c>
    </row>
    <row r="70" spans="1:5" ht="25.5" customHeight="1">
      <c r="A70" s="50" t="s">
        <v>603</v>
      </c>
      <c r="B70" s="162" t="s">
        <v>536</v>
      </c>
      <c r="C70" s="45" t="s">
        <v>528</v>
      </c>
      <c r="D70" s="45"/>
      <c r="E70" s="77" t="b">
        <v>0</v>
      </c>
    </row>
    <row r="71" spans="1:5" ht="25.5" customHeight="1">
      <c r="A71" s="50" t="s">
        <v>604</v>
      </c>
      <c r="B71" s="162" t="s">
        <v>536</v>
      </c>
      <c r="C71" s="45" t="s">
        <v>529</v>
      </c>
      <c r="D71" s="45"/>
      <c r="E71" s="77" t="b">
        <v>0</v>
      </c>
    </row>
    <row r="72" spans="1:5" ht="25.5" customHeight="1">
      <c r="A72" s="50" t="s">
        <v>605</v>
      </c>
      <c r="B72" s="162" t="s">
        <v>536</v>
      </c>
      <c r="C72" s="45" t="s">
        <v>530</v>
      </c>
      <c r="D72" s="45"/>
      <c r="E72" s="77" t="b">
        <v>0</v>
      </c>
    </row>
    <row r="73" spans="1:5" ht="25.5" customHeight="1">
      <c r="A73" s="50" t="s">
        <v>606</v>
      </c>
      <c r="B73" s="162" t="s">
        <v>750</v>
      </c>
      <c r="C73" s="45" t="s">
        <v>749</v>
      </c>
      <c r="D73" s="45"/>
      <c r="E73" s="77" t="b">
        <v>0</v>
      </c>
    </row>
    <row r="74" spans="1:5" ht="25.5" customHeight="1">
      <c r="A74" s="50" t="s">
        <v>607</v>
      </c>
      <c r="B74" s="162" t="s">
        <v>752</v>
      </c>
      <c r="C74" s="45" t="s">
        <v>751</v>
      </c>
      <c r="D74" s="45"/>
      <c r="E74" s="77" t="b">
        <v>0</v>
      </c>
    </row>
    <row r="75" spans="1:5" ht="25.5" customHeight="1">
      <c r="A75" s="50" t="s">
        <v>608</v>
      </c>
      <c r="B75" s="162" t="s">
        <v>536</v>
      </c>
      <c r="C75" s="45" t="s">
        <v>753</v>
      </c>
      <c r="D75" s="45"/>
      <c r="E75" s="77" t="b">
        <v>0</v>
      </c>
    </row>
    <row r="76" spans="1:5" ht="25.5" customHeight="1">
      <c r="A76" s="50" t="s">
        <v>609</v>
      </c>
      <c r="B76" s="162" t="s">
        <v>755</v>
      </c>
      <c r="C76" s="45" t="s">
        <v>754</v>
      </c>
      <c r="D76" s="45"/>
      <c r="E76" s="77" t="b">
        <v>0</v>
      </c>
    </row>
    <row r="77" spans="1:5" ht="25.5" customHeight="1">
      <c r="A77" s="50" t="s">
        <v>610</v>
      </c>
      <c r="B77" s="162" t="s">
        <v>759</v>
      </c>
      <c r="C77" s="45" t="s">
        <v>758</v>
      </c>
      <c r="D77" s="45"/>
      <c r="E77" s="77" t="b">
        <v>0</v>
      </c>
    </row>
    <row r="78" spans="1:5" ht="25.5" customHeight="1">
      <c r="A78" s="50" t="s">
        <v>611</v>
      </c>
      <c r="B78" s="162" t="s">
        <v>536</v>
      </c>
      <c r="C78" s="45" t="s">
        <v>531</v>
      </c>
      <c r="D78" s="45"/>
      <c r="E78" s="77" t="b">
        <v>0</v>
      </c>
    </row>
    <row r="79" spans="1:5" ht="25.5" customHeight="1">
      <c r="A79" s="50" t="s">
        <v>612</v>
      </c>
      <c r="B79" s="162" t="s">
        <v>536</v>
      </c>
      <c r="C79" s="45" t="s">
        <v>531</v>
      </c>
      <c r="D79" s="45"/>
      <c r="E79" s="77" t="b">
        <v>0</v>
      </c>
    </row>
    <row r="80" spans="1:5" ht="25.5" customHeight="1">
      <c r="A80" s="50" t="s">
        <v>613</v>
      </c>
      <c r="B80" s="162" t="s">
        <v>757</v>
      </c>
      <c r="C80" s="45" t="s">
        <v>756</v>
      </c>
      <c r="D80" s="45"/>
      <c r="E80" s="77" t="b">
        <v>0</v>
      </c>
    </row>
    <row r="81" spans="1:5" ht="25.5" customHeight="1">
      <c r="A81" s="50" t="s">
        <v>614</v>
      </c>
      <c r="B81" s="162" t="s">
        <v>761</v>
      </c>
      <c r="C81" s="45" t="s">
        <v>760</v>
      </c>
      <c r="D81" s="45"/>
      <c r="E81" s="77" t="b">
        <v>0</v>
      </c>
    </row>
    <row r="82" spans="1:5" ht="25.5" customHeight="1">
      <c r="A82" s="50" t="s">
        <v>615</v>
      </c>
      <c r="B82" s="162" t="s">
        <v>763</v>
      </c>
      <c r="C82" s="45" t="s">
        <v>762</v>
      </c>
      <c r="D82" s="45"/>
      <c r="E82" s="77" t="b">
        <v>0</v>
      </c>
    </row>
    <row r="83" spans="1:5" ht="25.5" customHeight="1">
      <c r="A83" s="50" t="s">
        <v>616</v>
      </c>
      <c r="B83" s="162" t="s">
        <v>536</v>
      </c>
      <c r="C83" s="45" t="s">
        <v>531</v>
      </c>
      <c r="D83" s="45"/>
      <c r="E83" s="77" t="b">
        <v>0</v>
      </c>
    </row>
    <row r="84" spans="1:5" ht="25.5" customHeight="1">
      <c r="A84" s="50" t="s">
        <v>617</v>
      </c>
      <c r="B84" s="162" t="s">
        <v>536</v>
      </c>
      <c r="C84" s="45" t="s">
        <v>531</v>
      </c>
      <c r="D84" s="45"/>
      <c r="E84" s="77" t="b">
        <v>0</v>
      </c>
    </row>
    <row r="85" spans="1:5" ht="25.5" customHeight="1">
      <c r="A85" s="50" t="s">
        <v>618</v>
      </c>
      <c r="B85" s="162" t="s">
        <v>536</v>
      </c>
      <c r="C85" s="45" t="s">
        <v>532</v>
      </c>
      <c r="D85" s="45"/>
      <c r="E85" s="77" t="b">
        <v>0</v>
      </c>
    </row>
    <row r="86" spans="1:5" ht="25.5" customHeight="1">
      <c r="A86" s="50" t="s">
        <v>619</v>
      </c>
      <c r="B86" s="162" t="s">
        <v>536</v>
      </c>
      <c r="C86" s="45" t="s">
        <v>532</v>
      </c>
      <c r="D86" s="45"/>
      <c r="E86" s="77" t="b">
        <v>0</v>
      </c>
    </row>
    <row r="87" spans="1:5" ht="25.5" customHeight="1">
      <c r="A87" s="50" t="s">
        <v>620</v>
      </c>
      <c r="B87" s="162" t="s">
        <v>536</v>
      </c>
      <c r="C87" s="45" t="s">
        <v>532</v>
      </c>
      <c r="D87" s="45"/>
      <c r="E87" s="77" t="b">
        <v>0</v>
      </c>
    </row>
    <row r="88" spans="1:5" ht="25.5" customHeight="1">
      <c r="A88" s="50" t="s">
        <v>621</v>
      </c>
      <c r="B88" s="162" t="s">
        <v>536</v>
      </c>
      <c r="C88" s="45" t="s">
        <v>532</v>
      </c>
      <c r="D88" s="45"/>
      <c r="E88" s="77" t="b">
        <v>0</v>
      </c>
    </row>
    <row r="89" spans="1:5" ht="25.5" customHeight="1">
      <c r="A89" s="50" t="s">
        <v>622</v>
      </c>
      <c r="B89" s="162" t="s">
        <v>536</v>
      </c>
      <c r="C89" s="45" t="s">
        <v>532</v>
      </c>
      <c r="D89" s="45"/>
      <c r="E89" s="77" t="b">
        <v>0</v>
      </c>
    </row>
    <row r="90" spans="1:5" ht="25.5" customHeight="1">
      <c r="A90" s="50" t="s">
        <v>623</v>
      </c>
      <c r="B90" s="162" t="s">
        <v>766</v>
      </c>
      <c r="C90" s="45" t="s">
        <v>765</v>
      </c>
      <c r="D90" s="45"/>
      <c r="E90" s="77" t="b">
        <v>0</v>
      </c>
    </row>
    <row r="91" spans="1:5" ht="25.5" customHeight="1">
      <c r="A91" s="50" t="s">
        <v>624</v>
      </c>
      <c r="B91" s="162" t="s">
        <v>768</v>
      </c>
      <c r="C91" s="45" t="s">
        <v>767</v>
      </c>
      <c r="D91" s="45"/>
      <c r="E91" s="77" t="b">
        <v>0</v>
      </c>
    </row>
    <row r="92" spans="1:5" ht="25.5" customHeight="1">
      <c r="A92" s="50" t="s">
        <v>625</v>
      </c>
      <c r="B92" s="162" t="s">
        <v>770</v>
      </c>
      <c r="C92" s="45" t="s">
        <v>769</v>
      </c>
      <c r="D92" s="45"/>
      <c r="E92" s="77" t="b">
        <v>0</v>
      </c>
    </row>
    <row r="93" spans="1:5" ht="25.5" customHeight="1">
      <c r="A93" s="50" t="s">
        <v>626</v>
      </c>
      <c r="B93" s="162" t="s">
        <v>772</v>
      </c>
      <c r="C93" s="45" t="s">
        <v>771</v>
      </c>
      <c r="D93" s="45"/>
      <c r="E93" s="77" t="b">
        <v>0</v>
      </c>
    </row>
    <row r="94" spans="1:5" ht="25.5" customHeight="1">
      <c r="A94" s="50" t="s">
        <v>627</v>
      </c>
      <c r="B94" s="162" t="s">
        <v>536</v>
      </c>
      <c r="C94" s="45" t="s">
        <v>533</v>
      </c>
      <c r="D94" s="45"/>
      <c r="E94" s="77" t="b">
        <v>0</v>
      </c>
    </row>
    <row r="95" spans="1:5" ht="25.5" customHeight="1">
      <c r="A95" s="50" t="s">
        <v>628</v>
      </c>
      <c r="B95" s="162" t="s">
        <v>536</v>
      </c>
      <c r="C95" s="45" t="s">
        <v>534</v>
      </c>
      <c r="D95" s="45"/>
      <c r="E95" s="77" t="b">
        <v>0</v>
      </c>
    </row>
    <row r="96" spans="1:5" ht="25.5" customHeight="1">
      <c r="A96" s="50" t="s">
        <v>629</v>
      </c>
      <c r="B96" s="162" t="s">
        <v>536</v>
      </c>
      <c r="C96" s="45" t="s">
        <v>535</v>
      </c>
      <c r="D96" s="45"/>
      <c r="E96" s="77" t="b">
        <v>0</v>
      </c>
    </row>
    <row r="97" spans="1:5" ht="25.5" customHeight="1">
      <c r="A97" s="50" t="s">
        <v>630</v>
      </c>
      <c r="B97" s="162" t="s">
        <v>774</v>
      </c>
      <c r="C97" s="45" t="s">
        <v>773</v>
      </c>
      <c r="D97" s="45"/>
      <c r="E97" s="77" t="b">
        <v>0</v>
      </c>
    </row>
    <row r="98" spans="1:5" ht="25.5" customHeight="1">
      <c r="A98" s="50" t="s">
        <v>631</v>
      </c>
      <c r="B98" s="162" t="s">
        <v>776</v>
      </c>
      <c r="C98" s="45" t="s">
        <v>775</v>
      </c>
      <c r="D98" s="45"/>
      <c r="E98" s="77" t="b">
        <v>0</v>
      </c>
    </row>
  </sheetData>
  <mergeCells count="1">
    <mergeCell ref="A1:E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5261D-61BF-4035-822C-05FB92FE003F}">
  <sheetPr>
    <tabColor theme="0" tint="-0.499984740745262"/>
  </sheetPr>
  <dimension ref="A1:B8"/>
  <sheetViews>
    <sheetView zoomScale="130" zoomScaleNormal="130" workbookViewId="0">
      <selection activeCell="B25" sqref="B25"/>
    </sheetView>
  </sheetViews>
  <sheetFormatPr defaultRowHeight="15.75"/>
  <cols>
    <col min="1" max="1" width="44.875" style="9" customWidth="1"/>
    <col min="2" max="2" width="76" style="9" customWidth="1"/>
    <col min="3" max="16384" width="9" style="9"/>
  </cols>
  <sheetData>
    <row r="1" spans="1:2" ht="27">
      <c r="A1" s="207" t="s">
        <v>1206</v>
      </c>
      <c r="B1" s="207"/>
    </row>
    <row r="2" spans="1:2" ht="16.5">
      <c r="A2" s="208" t="s">
        <v>1184</v>
      </c>
      <c r="B2" s="161" t="s">
        <v>1189</v>
      </c>
    </row>
    <row r="3" spans="1:2" ht="16.5">
      <c r="A3" s="161" t="s">
        <v>1204</v>
      </c>
      <c r="B3" s="161" t="s">
        <v>1205</v>
      </c>
    </row>
    <row r="4" spans="1:2">
      <c r="A4" s="50" t="s">
        <v>1196</v>
      </c>
      <c r="B4" s="162" t="s">
        <v>1191</v>
      </c>
    </row>
    <row r="5" spans="1:2">
      <c r="A5" s="50" t="s">
        <v>1200</v>
      </c>
      <c r="B5" s="162" t="s">
        <v>1192</v>
      </c>
    </row>
    <row r="6" spans="1:2">
      <c r="A6" s="50" t="s">
        <v>1199</v>
      </c>
      <c r="B6" s="162" t="s">
        <v>1193</v>
      </c>
    </row>
    <row r="7" spans="1:2">
      <c r="A7" s="50" t="s">
        <v>1198</v>
      </c>
      <c r="B7" s="162" t="s">
        <v>1194</v>
      </c>
    </row>
    <row r="8" spans="1:2">
      <c r="A8" s="50" t="s">
        <v>1197</v>
      </c>
      <c r="B8" s="162" t="s">
        <v>1195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54B1-35DA-4CB6-B5CB-883B5199B28D}">
  <sheetPr>
    <tabColor theme="0" tint="-0.499984740745262"/>
  </sheetPr>
  <dimension ref="A1:F6"/>
  <sheetViews>
    <sheetView tabSelected="1" workbookViewId="0">
      <selection activeCell="C12" sqref="C12"/>
    </sheetView>
  </sheetViews>
  <sheetFormatPr defaultColWidth="73.375" defaultRowHeight="16.5"/>
  <cols>
    <col min="1" max="1" width="44.375" bestFit="1" customWidth="1"/>
    <col min="2" max="2" width="18.625" bestFit="1" customWidth="1"/>
    <col min="3" max="3" width="71.875" bestFit="1" customWidth="1"/>
    <col min="4" max="4" width="34.625" customWidth="1"/>
    <col min="5" max="5" width="18.375" bestFit="1" customWidth="1"/>
    <col min="6" max="6" width="13" bestFit="1" customWidth="1"/>
  </cols>
  <sheetData>
    <row r="1" spans="1:6" ht="27">
      <c r="A1" s="202" t="s">
        <v>1190</v>
      </c>
      <c r="B1" s="202"/>
      <c r="C1" s="202"/>
      <c r="D1" s="202"/>
      <c r="E1" s="202"/>
      <c r="F1" s="202"/>
    </row>
    <row r="2" spans="1:6">
      <c r="A2" s="160" t="s">
        <v>1184</v>
      </c>
      <c r="B2" s="161" t="s">
        <v>1185</v>
      </c>
      <c r="C2" s="161" t="s">
        <v>1186</v>
      </c>
      <c r="D2" s="161"/>
      <c r="E2" s="161" t="s">
        <v>1187</v>
      </c>
      <c r="F2" s="161" t="s">
        <v>1180</v>
      </c>
    </row>
    <row r="3" spans="1:6">
      <c r="A3" s="161" t="s">
        <v>257</v>
      </c>
      <c r="B3" s="161" t="s">
        <v>510</v>
      </c>
      <c r="C3" s="161" t="s">
        <v>377</v>
      </c>
      <c r="D3" s="161"/>
      <c r="E3" s="161" t="s">
        <v>1188</v>
      </c>
      <c r="F3" s="161" t="s">
        <v>1181</v>
      </c>
    </row>
    <row r="4" spans="1:6" ht="31.5">
      <c r="A4" s="50" t="s">
        <v>537</v>
      </c>
      <c r="B4" s="162" t="s">
        <v>632</v>
      </c>
      <c r="C4" s="45" t="s">
        <v>358</v>
      </c>
      <c r="D4" s="45"/>
      <c r="E4" s="45"/>
      <c r="F4" s="77" t="b">
        <v>0</v>
      </c>
    </row>
    <row r="5" spans="1:6" ht="31.5">
      <c r="A5" s="50" t="s">
        <v>538</v>
      </c>
      <c r="B5" s="162" t="s">
        <v>633</v>
      </c>
      <c r="C5" s="45" t="s">
        <v>517</v>
      </c>
      <c r="D5" s="45"/>
      <c r="E5" s="45"/>
      <c r="F5" s="77" t="b">
        <v>0</v>
      </c>
    </row>
    <row r="6" spans="1:6" ht="31.5">
      <c r="A6" s="50" t="s">
        <v>539</v>
      </c>
      <c r="B6" s="162" t="s">
        <v>635</v>
      </c>
      <c r="C6" s="45" t="s">
        <v>634</v>
      </c>
      <c r="D6" s="45"/>
      <c r="E6" s="45"/>
      <c r="F6" s="77" t="b">
        <v>0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81CD-E49B-4227-83BD-06D963B47445}">
  <dimension ref="A13:D21"/>
  <sheetViews>
    <sheetView topLeftCell="A17" workbookViewId="0">
      <selection activeCell="C28" sqref="C28"/>
    </sheetView>
  </sheetViews>
  <sheetFormatPr defaultColWidth="93.375" defaultRowHeight="16.5"/>
  <cols>
    <col min="1" max="1" width="44.375" bestFit="1" customWidth="1"/>
    <col min="2" max="2" width="18.625" bestFit="1" customWidth="1"/>
    <col min="3" max="3" width="91.75" bestFit="1" customWidth="1"/>
    <col min="4" max="4" width="13" bestFit="1" customWidth="1"/>
  </cols>
  <sheetData>
    <row r="13" spans="1:4" ht="27">
      <c r="A13" s="202" t="s">
        <v>1183</v>
      </c>
      <c r="B13" s="202"/>
      <c r="C13" s="202"/>
      <c r="D13" s="202"/>
    </row>
    <row r="14" spans="1:4">
      <c r="A14" s="160" t="s">
        <v>244</v>
      </c>
      <c r="B14" s="161" t="s">
        <v>509</v>
      </c>
      <c r="C14" s="161" t="s">
        <v>247</v>
      </c>
      <c r="D14" s="161" t="s">
        <v>1180</v>
      </c>
    </row>
    <row r="15" spans="1:4">
      <c r="A15" s="161" t="s">
        <v>257</v>
      </c>
      <c r="B15" s="161" t="s">
        <v>510</v>
      </c>
      <c r="C15" s="161" t="s">
        <v>377</v>
      </c>
      <c r="D15" s="161" t="s">
        <v>1181</v>
      </c>
    </row>
    <row r="16" spans="1:4">
      <c r="A16" s="50" t="s">
        <v>537</v>
      </c>
      <c r="B16" s="162" t="s">
        <v>632</v>
      </c>
      <c r="C16" s="45" t="s">
        <v>358</v>
      </c>
      <c r="D16" s="77" t="b">
        <v>0</v>
      </c>
    </row>
    <row r="17" spans="1:4" ht="31.5">
      <c r="A17" s="50" t="s">
        <v>538</v>
      </c>
      <c r="B17" s="162" t="s">
        <v>633</v>
      </c>
      <c r="C17" s="45" t="s">
        <v>517</v>
      </c>
      <c r="D17" s="77" t="b">
        <v>0</v>
      </c>
    </row>
    <row r="18" spans="1:4">
      <c r="A18" s="50" t="s">
        <v>539</v>
      </c>
      <c r="B18" s="162" t="s">
        <v>635</v>
      </c>
      <c r="C18" s="45" t="s">
        <v>634</v>
      </c>
      <c r="D18" s="77" t="b">
        <v>0</v>
      </c>
    </row>
    <row r="19" spans="1:4">
      <c r="A19" s="50" t="s">
        <v>540</v>
      </c>
      <c r="B19" s="162" t="s">
        <v>637</v>
      </c>
      <c r="C19" s="45" t="s">
        <v>636</v>
      </c>
      <c r="D19" s="77" t="b">
        <v>0</v>
      </c>
    </row>
    <row r="20" spans="1:4" ht="31.5">
      <c r="A20" s="50" t="s">
        <v>541</v>
      </c>
      <c r="B20" s="162" t="s">
        <v>639</v>
      </c>
      <c r="C20" s="45" t="s">
        <v>638</v>
      </c>
      <c r="D20" s="77" t="b">
        <v>0</v>
      </c>
    </row>
    <row r="21" spans="1:4">
      <c r="A21" s="50" t="s">
        <v>542</v>
      </c>
      <c r="B21" s="162" t="s">
        <v>640</v>
      </c>
      <c r="C21" s="45" t="s">
        <v>360</v>
      </c>
      <c r="D21" s="77" t="b">
        <v>0</v>
      </c>
    </row>
  </sheetData>
  <mergeCells count="1">
    <mergeCell ref="A13:D1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1833-65AF-4A3A-B5F3-7169045DFA86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工作表37">
    <tabColor rgb="FFFFFF00"/>
  </sheetPr>
  <dimension ref="C1:J23"/>
  <sheetViews>
    <sheetView topLeftCell="B1" zoomScale="85" zoomScaleNormal="85" workbookViewId="0">
      <selection activeCell="G33" sqref="G33"/>
    </sheetView>
  </sheetViews>
  <sheetFormatPr defaultRowHeight="16.5"/>
  <cols>
    <col min="1" max="1" width="17.125" bestFit="1" customWidth="1"/>
    <col min="2" max="2" width="24.75" bestFit="1" customWidth="1"/>
    <col min="3" max="3" width="14.75" customWidth="1"/>
    <col min="4" max="4" width="17.5" customWidth="1"/>
    <col min="5" max="6" width="17.125" customWidth="1"/>
    <col min="7" max="8" width="14.75" customWidth="1"/>
    <col min="9" max="9" width="57" customWidth="1"/>
    <col min="10" max="10" width="103.5" customWidth="1"/>
  </cols>
  <sheetData>
    <row r="1" spans="4:10" ht="27">
      <c r="F1" s="203" t="s">
        <v>210</v>
      </c>
      <c r="G1" s="203"/>
      <c r="H1" s="203"/>
      <c r="I1" s="2"/>
      <c r="J1" s="2"/>
    </row>
    <row r="2" spans="4:10">
      <c r="F2" s="11" t="s">
        <v>198</v>
      </c>
      <c r="G2" s="12" t="s">
        <v>195</v>
      </c>
      <c r="H2" s="12" t="s">
        <v>196</v>
      </c>
      <c r="I2" s="2"/>
      <c r="J2" s="2"/>
    </row>
    <row r="3" spans="4:10">
      <c r="F3" s="12" t="s">
        <v>191</v>
      </c>
      <c r="G3" s="12" t="s">
        <v>192</v>
      </c>
      <c r="H3" s="12" t="s">
        <v>193</v>
      </c>
      <c r="I3" s="9" t="s">
        <v>142</v>
      </c>
      <c r="J3" s="1" t="s">
        <v>143</v>
      </c>
    </row>
    <row r="4" spans="4:10">
      <c r="F4" s="10"/>
      <c r="G4" s="10"/>
      <c r="H4" s="10"/>
      <c r="I4" s="4" t="str">
        <f>CONCATENATE("delete from dbo.",$F$1," where ",$F$2," = ","'",資料表表格3[[#This Row],[欄位名(中)1]],"';")</f>
        <v>delete from dbo.表格名稱3 where [PK]欄位名(英)1 = '';</v>
      </c>
      <c r="J4" s="4" t="str">
        <f>CONCATENATE(
"insert into dbo.",$F$1," values(","'",資料表表格3[[#This Row],[欄位名(中)1]],"'",",","'",資料表表格3[[#This Row],[欄位名(中)2]],"'",",","'",資料表表格3[[#This Row],[欄位名(中)3]],"'",",'",參考!$B$5,"'",",",參考!$B$6,",","'",參考!$B$7,"'",",",參考!$B$8,");")</f>
        <v>insert into dbo.表格名稱3 values('','','','admin',clock_timestamp(),'admin',clock_timestamp());</v>
      </c>
    </row>
    <row r="5" spans="4:10">
      <c r="F5" s="10"/>
      <c r="G5" s="10"/>
      <c r="H5" s="10"/>
      <c r="I5" s="4" t="str">
        <f>CONCATENATE("delete from dbo.",$F$1," where ",$F$2," = ","'",資料表表格3[[#This Row],[欄位名(中)1]],"';")</f>
        <v>delete from dbo.表格名稱3 where [PK]欄位名(英)1 = '';</v>
      </c>
      <c r="J5" s="4" t="str">
        <f>CONCATENATE(
"insert into dbo.",$F$1," values(","'",資料表表格3[[#This Row],[欄位名(中)1]],"'",",","'",資料表表格3[[#This Row],[欄位名(中)2]],"'",",","'",資料表表格3[[#This Row],[欄位名(中)3]],"'",",'",參考!$B$5,"'",",",參考!$B$6,",","'",參考!$B$7,"'",",",參考!$B$8,");")</f>
        <v>insert into dbo.表格名稱3 values('','','','admin',clock_timestamp(),'admin',clock_timestamp());</v>
      </c>
    </row>
    <row r="7" spans="4:10" ht="27">
      <c r="E7" s="204" t="s">
        <v>207</v>
      </c>
      <c r="F7" s="205"/>
      <c r="G7" s="205"/>
      <c r="H7" s="206"/>
      <c r="I7" s="2"/>
      <c r="J7" s="2"/>
    </row>
    <row r="8" spans="4:10">
      <c r="E8" s="11" t="s">
        <v>198</v>
      </c>
      <c r="F8" s="12" t="s">
        <v>195</v>
      </c>
      <c r="G8" s="12" t="s">
        <v>196</v>
      </c>
      <c r="H8" s="12" t="s">
        <v>197</v>
      </c>
      <c r="I8" s="2"/>
      <c r="J8" s="2"/>
    </row>
    <row r="9" spans="4:10">
      <c r="E9" s="12" t="s">
        <v>191</v>
      </c>
      <c r="F9" s="12" t="s">
        <v>192</v>
      </c>
      <c r="G9" s="12" t="s">
        <v>193</v>
      </c>
      <c r="H9" s="12" t="s">
        <v>194</v>
      </c>
      <c r="I9" s="9" t="s">
        <v>142</v>
      </c>
      <c r="J9" s="1" t="s">
        <v>143</v>
      </c>
    </row>
    <row r="10" spans="4:10">
      <c r="E10" s="10"/>
      <c r="F10" s="10"/>
      <c r="G10" s="10"/>
      <c r="H10" s="10"/>
      <c r="I10" s="2" t="str">
        <f>CONCATENATE("delete from dbo.", $E$7," where ",$E$8," = ","'",資料表表格4[[#This Row],[欄位名(中)1]],"';")</f>
        <v>delete from dbo.表格名稱4 where [PK]欄位名(英)1 = '';</v>
      </c>
      <c r="J10" s="2" t="str">
        <f>CONCATENATE(
"insert into dbo.",$E$7," values(","'",資料表表格4[[#This Row],[欄位名(中)1]],"'",",","'",資料表表格4[[#This Row],[欄位名(中)2]],"'",",","'",資料表表格4[[#This Row],[欄位名(中)3]],"'",",","'","","'",",'",參考!$B$5,"'",",",參考!$B$6,",","'",參考!$B$7,"'",",",參考!$B$8,");")</f>
        <v>insert into dbo.表格名稱4 values('','','','','admin',clock_timestamp(),'admin',clock_timestamp());</v>
      </c>
    </row>
    <row r="11" spans="4:10">
      <c r="E11" s="10"/>
      <c r="F11" s="10"/>
      <c r="G11" s="10"/>
      <c r="H11" s="10"/>
      <c r="I11" s="2" t="str">
        <f>CONCATENATE("delete from dbo.", $E$7," where ",$E$8," = ","'",資料表表格4[[#This Row],[欄位名(中)1]],"';")</f>
        <v>delete from dbo.表格名稱4 where [PK]欄位名(英)1 = '';</v>
      </c>
      <c r="J11" s="2" t="str">
        <f>CONCATENATE(
"insert into dbo.",$E$7," values(","'",資料表表格4[[#This Row],[欄位名(中)1]],"'",",","'",資料表表格4[[#This Row],[欄位名(中)2]],"'",",","'",資料表表格4[[#This Row],[欄位名(中)3]],"'",",","'","","'",",'",參考!$B$5,"'",",",參考!$B$6,",","'",參考!$B$7,"'",",",參考!$B$8,");")</f>
        <v>insert into dbo.表格名稱4 values('','','','','admin',clock_timestamp(),'admin',clock_timestamp());</v>
      </c>
    </row>
    <row r="13" spans="4:10" ht="27">
      <c r="D13" s="203" t="s">
        <v>208</v>
      </c>
      <c r="E13" s="203"/>
      <c r="F13" s="203"/>
      <c r="G13" s="203"/>
      <c r="H13" s="203"/>
      <c r="I13" s="2"/>
      <c r="J13" s="2"/>
    </row>
    <row r="14" spans="4:10">
      <c r="D14" s="11" t="s">
        <v>201</v>
      </c>
      <c r="E14" s="12" t="s">
        <v>195</v>
      </c>
      <c r="F14" s="12" t="s">
        <v>196</v>
      </c>
      <c r="G14" s="12" t="s">
        <v>197</v>
      </c>
      <c r="H14" s="12" t="s">
        <v>204</v>
      </c>
      <c r="I14" s="2"/>
      <c r="J14" s="2"/>
    </row>
    <row r="15" spans="4:10">
      <c r="D15" s="12" t="s">
        <v>202</v>
      </c>
      <c r="E15" s="12" t="s">
        <v>192</v>
      </c>
      <c r="F15" s="12" t="s">
        <v>193</v>
      </c>
      <c r="G15" s="12" t="s">
        <v>194</v>
      </c>
      <c r="H15" s="12" t="s">
        <v>203</v>
      </c>
      <c r="I15" s="9" t="s">
        <v>142</v>
      </c>
      <c r="J15" s="1" t="s">
        <v>143</v>
      </c>
    </row>
    <row r="16" spans="4:10">
      <c r="D16" s="10"/>
      <c r="E16" s="10"/>
      <c r="F16" s="10"/>
      <c r="G16" s="10"/>
      <c r="H16" s="10"/>
      <c r="I16" s="2" t="str">
        <f>CONCATENATE("delete from dbo.", $D$13," where ",$D$14," = ","'",資料表表格5[[#This Row],[欄位名(中)1]],"';")</f>
        <v>delete from dbo.表格名稱5 where [PK]欄位名(英)1 = '';</v>
      </c>
      <c r="J16" s="2" t="str">
        <f>CONCATENATE(
"insert into dbo.",$D$13," values(","'",資料表表格5[[#This Row],[欄位名(中)1]],"'",",","'",資料表表格5[[#This Row],[欄位名(中)2]],"'",",","'",資料表表格5[[#This Row],[欄位名(中)3]],"'",",'",資料表表格5[[#This Row],[欄位名(中)4]],"'",",","'",資料表表格5[[#This Row],[欄位名(中)5]],"'",",'",參考!$B$5,"'",",",參考!$B$6,",","'",參考!$B$7,"'",",",參考!$B$8,");")</f>
        <v>insert into dbo.表格名稱5 values('','','','','','admin',clock_timestamp(),'admin',clock_timestamp());</v>
      </c>
    </row>
    <row r="17" spans="3:10">
      <c r="D17" s="10"/>
      <c r="E17" s="10"/>
      <c r="F17" s="10"/>
      <c r="G17" s="10"/>
      <c r="H17" s="10"/>
      <c r="I17" s="2" t="str">
        <f>CONCATENATE("delete from dbo.", $D$13," where ",$D$14," = ","'",資料表表格5[[#This Row],[欄位名(中)1]],"';")</f>
        <v>delete from dbo.表格名稱5 where [PK]欄位名(英)1 = '';</v>
      </c>
      <c r="J17" s="2" t="str">
        <f>CONCATENATE(
"insert into dbo.",$D$13," values(","'",資料表表格5[[#This Row],[欄位名(中)1]],"'",",","'",資料表表格5[[#This Row],[欄位名(中)2]],"'",",","'",資料表表格5[[#This Row],[欄位名(中)3]],"'",",'",資料表表格5[[#This Row],[欄位名(中)4]],"'",",","'",資料表表格5[[#This Row],[欄位名(中)5]],"'",",'",參考!$B$5,"'",",",參考!$B$6,",","'",參考!$B$7,"'",",",參考!$B$8,");")</f>
        <v>insert into dbo.表格名稱5 values('','','','','','admin',clock_timestamp(),'admin',clock_timestamp());</v>
      </c>
    </row>
    <row r="19" spans="3:10" ht="27">
      <c r="C19" s="203" t="s">
        <v>209</v>
      </c>
      <c r="D19" s="203"/>
      <c r="E19" s="203"/>
      <c r="F19" s="203"/>
      <c r="G19" s="203"/>
      <c r="H19" s="203"/>
      <c r="I19" s="2"/>
      <c r="J19" s="2"/>
    </row>
    <row r="20" spans="3:10">
      <c r="C20" s="11" t="s">
        <v>201</v>
      </c>
      <c r="D20" s="12" t="s">
        <v>195</v>
      </c>
      <c r="E20" s="12" t="s">
        <v>196</v>
      </c>
      <c r="F20" s="12" t="s">
        <v>197</v>
      </c>
      <c r="G20" s="12" t="s">
        <v>204</v>
      </c>
      <c r="H20" s="12" t="s">
        <v>205</v>
      </c>
      <c r="I20" s="2"/>
      <c r="J20" s="2"/>
    </row>
    <row r="21" spans="3:10">
      <c r="C21" s="15" t="s">
        <v>202</v>
      </c>
      <c r="D21" s="16" t="s">
        <v>192</v>
      </c>
      <c r="E21" s="16" t="s">
        <v>193</v>
      </c>
      <c r="F21" s="16" t="s">
        <v>194</v>
      </c>
      <c r="G21" s="16" t="s">
        <v>203</v>
      </c>
      <c r="H21" s="17" t="s">
        <v>206</v>
      </c>
      <c r="I21" s="9" t="s">
        <v>142</v>
      </c>
      <c r="J21" s="1" t="s">
        <v>143</v>
      </c>
    </row>
    <row r="22" spans="3:10">
      <c r="C22" s="13"/>
      <c r="D22" s="10"/>
      <c r="E22" s="10"/>
      <c r="F22" s="10"/>
      <c r="G22" s="10"/>
      <c r="H22" s="14"/>
      <c r="I22" s="2" t="str">
        <f>CONCATENATE("delete from dbo.", $C$19," where ",$C$20," = ","'",C22,"';")</f>
        <v>delete from dbo.表格名稱6 where [PK]欄位名(英)1 = '';</v>
      </c>
      <c r="J22" s="2" t="str">
        <f>CONCATENATE(
"insert into dbo.",$C$19," values(","'", C22,"'",",","'",D22,"'",",","'",E22,"'",",","'",F22,"'",",","'",G22,"'",",","'",H22,"'",",'",參考!$B$5,"'",",",參考!$B$6,",","'",參考!$B$7,"'",",",參考!$B$8,");")</f>
        <v>insert into dbo.表格名稱6 values('','','','','','','admin',clock_timestamp(),'admin',clock_timestamp());</v>
      </c>
    </row>
    <row r="23" spans="3:10">
      <c r="C23" s="13"/>
      <c r="D23" s="10"/>
      <c r="E23" s="10"/>
      <c r="F23" s="10"/>
      <c r="G23" s="10"/>
      <c r="H23" s="14"/>
      <c r="I23" s="2" t="str">
        <f>CONCATENATE("delete from dbo.", $C$19," where ",$C$20," = ","'",C23,"';")</f>
        <v>delete from dbo.表格名稱6 where [PK]欄位名(英)1 = '';</v>
      </c>
      <c r="J23" s="2" t="str">
        <f>CONCATENATE(
"insert into dbo.",$C$19," values(","'", C23,"'",",","'",D23,"'",",","'",E23,"'",",","'",F23,"'",",","'",G23,"'",",","'",H23,"'",",'",參考!$B$5,"'",",",參考!$B$6,",","'",參考!$B$7,"'",",",參考!$B$8,");")</f>
        <v>insert into dbo.表格名稱6 values('','','','','','','admin',clock_timestamp(),'admin',clock_timestamp());</v>
      </c>
    </row>
  </sheetData>
  <protectedRanges>
    <protectedRange sqref="E8:H8 F2:H2" name="範圍1_1_3"/>
  </protectedRanges>
  <mergeCells count="4">
    <mergeCell ref="F1:H1"/>
    <mergeCell ref="D13:H13"/>
    <mergeCell ref="C19:H19"/>
    <mergeCell ref="E7:H7"/>
  </mergeCells>
  <phoneticPr fontId="1" type="noConversion"/>
  <dataValidations count="3">
    <dataValidation type="list" allowBlank="1" showInputMessage="1" showErrorMessage="1" sqref="E16:E17" xr:uid="{00000000-0002-0000-2500-000000000000}">
      <formula1>選單_廣播設備</formula1>
    </dataValidation>
    <dataValidation type="list" allowBlank="1" showInputMessage="1" showErrorMessage="1" sqref="D22:D23" xr:uid="{00000000-0002-0000-2500-000001000000}">
      <formula1>選單_CMFT設備</formula1>
    </dataValidation>
    <dataValidation type="list" allowBlank="1" showInputMessage="1" showErrorMessage="1" sqref="F16:F17 E22:E23" xr:uid="{00000000-0002-0000-2500-000002000000}">
      <formula1>#REF!</formula1>
    </dataValidation>
  </dataValidation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工作表38">
    <tabColor rgb="FFFFFF00"/>
  </sheetPr>
  <dimension ref="A1:B8"/>
  <sheetViews>
    <sheetView workbookViewId="0">
      <selection activeCell="I18" sqref="I18"/>
    </sheetView>
  </sheetViews>
  <sheetFormatPr defaultRowHeight="21.95" customHeight="1"/>
  <cols>
    <col min="1" max="1" width="12.75" style="1" customWidth="1"/>
    <col min="2" max="2" width="49.875" style="1" customWidth="1"/>
    <col min="3" max="16384" width="9" style="1"/>
  </cols>
  <sheetData>
    <row r="1" spans="1:2" ht="21.95" customHeight="1">
      <c r="A1" s="6" t="s">
        <v>23</v>
      </c>
    </row>
    <row r="2" spans="1:2" ht="21.95" customHeight="1">
      <c r="A2" s="7" t="s">
        <v>29</v>
      </c>
    </row>
    <row r="3" spans="1:2" ht="31.5">
      <c r="A3" s="7" t="s">
        <v>45</v>
      </c>
      <c r="B3" s="5" t="s">
        <v>212</v>
      </c>
    </row>
    <row r="4" spans="1:2" ht="21.95" customHeight="1">
      <c r="A4" s="7" t="s">
        <v>86</v>
      </c>
      <c r="B4" s="5" t="s">
        <v>87</v>
      </c>
    </row>
    <row r="5" spans="1:2" ht="21.95" customHeight="1">
      <c r="A5" s="8" t="s">
        <v>1</v>
      </c>
      <c r="B5" s="1" t="s">
        <v>187</v>
      </c>
    </row>
    <row r="6" spans="1:2" ht="21.95" customHeight="1">
      <c r="A6" s="8" t="s">
        <v>3</v>
      </c>
      <c r="B6" s="1" t="s">
        <v>188</v>
      </c>
    </row>
    <row r="7" spans="1:2" ht="21.95" customHeight="1">
      <c r="A7" s="8" t="s">
        <v>6</v>
      </c>
      <c r="B7" s="1" t="s">
        <v>187</v>
      </c>
    </row>
    <row r="8" spans="1:2" ht="21.95" customHeight="1">
      <c r="A8" s="8" t="s">
        <v>8</v>
      </c>
      <c r="B8" s="1" t="s">
        <v>188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52</vt:i4>
      </vt:variant>
    </vt:vector>
  </HeadingPairs>
  <TitlesOfParts>
    <vt:vector size="63" baseType="lpstr">
      <vt:lpstr>資料表一覽</vt:lpstr>
      <vt:lpstr>資料表詳細</vt:lpstr>
      <vt:lpstr>選單</vt:lpstr>
      <vt:lpstr>message_group</vt:lpstr>
      <vt:lpstr>message</vt:lpstr>
      <vt:lpstr>voice_group</vt:lpstr>
      <vt:lpstr>voice</vt:lpstr>
      <vt:lpstr>role</vt:lpstr>
      <vt:lpstr>user</vt:lpstr>
      <vt:lpstr>資料表模板</vt:lpstr>
      <vt:lpstr>參考</vt:lpstr>
      <vt:lpstr>[資料表詳細]cmft_account</vt:lpstr>
      <vt:lpstr>[資料表詳細]cmft_oper</vt:lpstr>
      <vt:lpstr>[資料表詳細]cmft_role</vt:lpstr>
      <vt:lpstr>[資料表詳細]cmft_role_auth</vt:lpstr>
      <vt:lpstr>[資料表詳細]dlts_caller_display</vt:lpstr>
      <vt:lpstr>[資料表詳細]dlts_caller_log</vt:lpstr>
      <vt:lpstr>[資料表詳細]dlts_seat_status</vt:lpstr>
      <vt:lpstr>[資料表詳細]dmd_group</vt:lpstr>
      <vt:lpstr>[資料表詳細]dmd_group_target</vt:lpstr>
      <vt:lpstr>[資料表詳細]dmd_instant_message</vt:lpstr>
      <vt:lpstr>[資料表詳細]dmd_playlist</vt:lpstr>
      <vt:lpstr>[資料表詳細]dmd_power_setting</vt:lpstr>
      <vt:lpstr>[資料表詳細]dmd_pre_record_message</vt:lpstr>
      <vt:lpstr>[資料表詳細]dmd_schedule</vt:lpstr>
      <vt:lpstr>[資料表詳細]dmd_schedule_playlist</vt:lpstr>
      <vt:lpstr>[資料表詳細]dmd_target</vt:lpstr>
      <vt:lpstr>[資料表詳細]dmd_train_message</vt:lpstr>
      <vt:lpstr>[資料表詳細]otcs_event</vt:lpstr>
      <vt:lpstr>[資料表詳細]otcs_event_list</vt:lpstr>
      <vt:lpstr>[資料表詳細]otcs_train</vt:lpstr>
      <vt:lpstr>[資料表詳細]pa_daypart_time</vt:lpstr>
      <vt:lpstr>[資料表詳細]pa_daypart_volume</vt:lpstr>
      <vt:lpstr>[資料表詳細]pa_group</vt:lpstr>
      <vt:lpstr>[資料表詳細]pa_group_target</vt:lpstr>
      <vt:lpstr>[資料表詳細]pa_pre_record_voice</vt:lpstr>
      <vt:lpstr>[資料表詳細]pa_schedule</vt:lpstr>
      <vt:lpstr>[資料表詳細]pa_schedule_playlist</vt:lpstr>
      <vt:lpstr>[資料表詳細]pa_target</vt:lpstr>
      <vt:lpstr>[資料表詳細]seat_equip</vt:lpstr>
      <vt:lpstr>[資料表詳細]sync_linked_setting</vt:lpstr>
      <vt:lpstr>[資料表詳細]sys_alarm</vt:lpstr>
      <vt:lpstr>[資料表詳細]sys_alarm_history</vt:lpstr>
      <vt:lpstr>[資料表詳細]sys_alarm_list</vt:lpstr>
      <vt:lpstr>[資料表詳細]sys_config</vt:lpstr>
      <vt:lpstr>[資料表詳細]sys_equip</vt:lpstr>
      <vt:lpstr>[資料表詳細]sys_oper_alarm_list</vt:lpstr>
      <vt:lpstr>[資料表詳細]sys_oper_log</vt:lpstr>
      <vt:lpstr>[資料表詳細]sys_oper_log_history</vt:lpstr>
      <vt:lpstr>[資料表詳細]sys_seat</vt:lpstr>
      <vt:lpstr>[資料表詳細]sys_seat_equip</vt:lpstr>
      <vt:lpstr>[資料表詳細]sys_station</vt:lpstr>
      <vt:lpstr>[資料表詳細]sys_station_area</vt:lpstr>
      <vt:lpstr>選單_主畫面_中</vt:lpstr>
      <vt:lpstr>選單_主畫面_英</vt:lpstr>
      <vt:lpstr>選單_布林</vt:lpstr>
      <vt:lpstr>選單_空值</vt:lpstr>
      <vt:lpstr>選單_廣播設備</vt:lpstr>
      <vt:lpstr>選單_模組_中</vt:lpstr>
      <vt:lpstr>選單_模組_英</vt:lpstr>
      <vt:lpstr>選單_鍵值設定</vt:lpstr>
      <vt:lpstr>選單_屬性類型_Csharp</vt:lpstr>
      <vt:lpstr>選單_屬性類型_Postgre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TSAI CHI CHEN/蔡季辰/ASI-EGD</dc:creator>
  <cp:lastModifiedBy>季辰 蔡</cp:lastModifiedBy>
  <cp:lastPrinted>2022-08-11T08:18:00Z</cp:lastPrinted>
  <dcterms:created xsi:type="dcterms:W3CDTF">2022-06-07T00:55:11Z</dcterms:created>
  <dcterms:modified xsi:type="dcterms:W3CDTF">2025-05-23T02:48:59Z</dcterms:modified>
</cp:coreProperties>
</file>