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HappyCompanyASI\ASI.TCL.CMFT\Other\"/>
    </mc:Choice>
  </mc:AlternateContent>
  <xr:revisionPtr revIDLastSave="0" documentId="13_ncr:1_{CECD0A50-B687-4016-9561-67D48C3FE247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工作列表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H3" i="1" s="1"/>
  <c r="I3" i="1" s="1"/>
  <c r="H4" i="1" s="1"/>
  <c r="I4" i="1" s="1"/>
  <c r="H5" i="1" s="1"/>
  <c r="I5" i="1" s="1"/>
  <c r="H6" i="1" s="1"/>
  <c r="I6" i="1" s="1"/>
  <c r="H7" i="1" s="1"/>
  <c r="I7" i="1" s="1"/>
  <c r="H8" i="1" s="1"/>
  <c r="I8" i="1" s="1"/>
  <c r="H9" i="1" s="1"/>
  <c r="I9" i="1" s="1"/>
  <c r="H10" i="1" s="1"/>
  <c r="I10" i="1" s="1"/>
  <c r="H11" i="1" s="1"/>
  <c r="I11" i="1" s="1"/>
  <c r="H12" i="1" s="1"/>
  <c r="I12" i="1" s="1"/>
  <c r="H13" i="1" s="1"/>
  <c r="I13" i="1" s="1"/>
  <c r="H14" i="1" s="1"/>
  <c r="I14" i="1" s="1"/>
  <c r="H15" i="1" s="1"/>
  <c r="I15" i="1" s="1"/>
  <c r="H16" i="1" s="1"/>
  <c r="I16" i="1" s="1"/>
  <c r="H17" i="1" s="1"/>
  <c r="I17" i="1" s="1"/>
  <c r="H18" i="1" s="1"/>
  <c r="I18" i="1" s="1"/>
  <c r="H19" i="1" s="1"/>
  <c r="I19" i="1" s="1"/>
  <c r="H20" i="1" s="1"/>
  <c r="I20" i="1" s="1"/>
  <c r="H21" i="1" s="1"/>
  <c r="I21" i="1" s="1"/>
  <c r="H22" i="1" s="1"/>
  <c r="I22" i="1" s="1"/>
  <c r="H23" i="1" s="1"/>
  <c r="I23" i="1" s="1"/>
  <c r="H24" i="1" s="1"/>
  <c r="I24" i="1" s="1"/>
  <c r="H25" i="1" s="1"/>
  <c r="I25" i="1" s="1"/>
  <c r="H26" i="1" s="1"/>
  <c r="I26" i="1" s="1"/>
  <c r="H27" i="1" s="1"/>
  <c r="I27" i="1" s="1"/>
  <c r="H28" i="1" s="1"/>
  <c r="I28" i="1" s="1"/>
  <c r="H29" i="1" s="1"/>
  <c r="I29" i="1" s="1"/>
  <c r="H30" i="1" s="1"/>
  <c r="I30" i="1" s="1"/>
  <c r="H31" i="1" s="1"/>
  <c r="I31" i="1" s="1"/>
  <c r="H32" i="1" s="1"/>
  <c r="I32" i="1" s="1"/>
  <c r="H33" i="1" s="1"/>
  <c r="I33" i="1" s="1"/>
  <c r="H34" i="1" s="1"/>
  <c r="I34" i="1" s="1"/>
  <c r="H35" i="1" s="1"/>
  <c r="I35" i="1" s="1"/>
  <c r="H36" i="1" s="1"/>
  <c r="I36" i="1" s="1"/>
  <c r="H37" i="1" s="1"/>
  <c r="I37" i="1" s="1"/>
  <c r="H38" i="1" s="1"/>
  <c r="I38" i="1" s="1"/>
  <c r="H39" i="1" s="1"/>
  <c r="I39" i="1" s="1"/>
  <c r="H40" i="1" s="1"/>
  <c r="I40" i="1" s="1"/>
  <c r="H41" i="1" s="1"/>
  <c r="I41" i="1" s="1"/>
  <c r="H42" i="1" s="1"/>
  <c r="I42" i="1" s="1"/>
  <c r="H43" i="1" s="1"/>
  <c r="I43" i="1" s="1"/>
  <c r="H44" i="1" s="1"/>
  <c r="I44" i="1" s="1"/>
  <c r="H45" i="1" s="1"/>
  <c r="I45" i="1" s="1"/>
  <c r="H46" i="1" s="1"/>
  <c r="I46" i="1" s="1"/>
  <c r="H47" i="1" s="1"/>
  <c r="I47" i="1" s="1"/>
  <c r="H48" i="1" s="1"/>
  <c r="I48" i="1" s="1"/>
  <c r="H49" i="1" s="1"/>
  <c r="I49" i="1" s="1"/>
  <c r="H50" i="1" s="1"/>
  <c r="I50" i="1" s="1"/>
  <c r="H51" i="1" s="1"/>
  <c r="I51" i="1" s="1"/>
  <c r="H52" i="1" s="1"/>
  <c r="I52" i="1" s="1"/>
  <c r="H53" i="1" s="1"/>
  <c r="I53" i="1" s="1"/>
  <c r="H54" i="1" s="1"/>
  <c r="I54" i="1" s="1"/>
  <c r="H55" i="1" s="1"/>
  <c r="I55" i="1" s="1"/>
  <c r="H56" i="1" s="1"/>
  <c r="I56" i="1" s="1"/>
  <c r="H57" i="1" s="1"/>
  <c r="I57" i="1" s="1"/>
  <c r="H58" i="1" s="1"/>
  <c r="I58" i="1" s="1"/>
  <c r="H59" i="1" s="1"/>
  <c r="I59" i="1" s="1"/>
  <c r="H60" i="1" s="1"/>
  <c r="I60" i="1" s="1"/>
  <c r="H61" i="1" s="1"/>
  <c r="I61" i="1" s="1"/>
  <c r="H62" i="1" s="1"/>
  <c r="I62" i="1" s="1"/>
  <c r="H63" i="1" s="1"/>
  <c r="I63" i="1" s="1"/>
  <c r="H64" i="1" s="1"/>
  <c r="I64" i="1" s="1"/>
  <c r="H65" i="1" s="1"/>
  <c r="I65" i="1" s="1"/>
  <c r="H66" i="1" s="1"/>
  <c r="I66" i="1" s="1"/>
  <c r="H67" i="1" s="1"/>
  <c r="I67" i="1" s="1"/>
  <c r="H68" i="1" s="1"/>
  <c r="I68" i="1" s="1"/>
  <c r="H69" i="1" s="1"/>
  <c r="I69" i="1" s="1"/>
  <c r="H70" i="1" s="1"/>
  <c r="I70" i="1" s="1"/>
  <c r="H71" i="1" s="1"/>
  <c r="I71" i="1" s="1"/>
  <c r="H72" i="1" s="1"/>
  <c r="I72" i="1" s="1"/>
  <c r="H73" i="1" s="1"/>
  <c r="I73" i="1" s="1"/>
  <c r="H74" i="1" s="1"/>
  <c r="I74" i="1" s="1"/>
  <c r="H75" i="1" s="1"/>
  <c r="I75" i="1" s="1"/>
  <c r="H76" i="1" s="1"/>
  <c r="I76" i="1" s="1"/>
  <c r="H77" i="1" s="1"/>
  <c r="I77" i="1" s="1"/>
  <c r="H78" i="1" s="1"/>
  <c r="I78" i="1" s="1"/>
  <c r="H79" i="1" s="1"/>
  <c r="I79" i="1" s="1"/>
  <c r="H80" i="1" s="1"/>
  <c r="I80" i="1" s="1"/>
  <c r="H81" i="1" s="1"/>
  <c r="I81" i="1" s="1"/>
  <c r="H82" i="1" s="1"/>
  <c r="I82" i="1" s="1"/>
  <c r="H83" i="1" s="1"/>
  <c r="I83" i="1" s="1"/>
  <c r="H84" i="1" s="1"/>
  <c r="I84" i="1" s="1"/>
  <c r="H85" i="1" s="1"/>
  <c r="I85" i="1" s="1"/>
  <c r="H86" i="1" s="1"/>
  <c r="I86" i="1" s="1"/>
  <c r="H87" i="1" s="1"/>
  <c r="I87" i="1" s="1"/>
  <c r="H88" i="1" s="1"/>
  <c r="I88" i="1" s="1"/>
  <c r="H89" i="1" s="1"/>
  <c r="I89" i="1" s="1"/>
  <c r="H90" i="1" s="1"/>
  <c r="I90" i="1" s="1"/>
  <c r="H91" i="1" s="1"/>
  <c r="I91" i="1" s="1"/>
  <c r="H92" i="1" s="1"/>
  <c r="I92" i="1" s="1"/>
  <c r="H93" i="1" s="1"/>
  <c r="I93" i="1" s="1"/>
</calcChain>
</file>

<file path=xl/sharedStrings.xml><?xml version="1.0" encoding="utf-8"?>
<sst xmlns="http://schemas.openxmlformats.org/spreadsheetml/2006/main" count="148" uniqueCount="96">
  <si>
    <t>功能</t>
    <phoneticPr fontId="1" type="noConversion"/>
  </si>
  <si>
    <t>設定</t>
    <phoneticPr fontId="1" type="noConversion"/>
  </si>
  <si>
    <t>狀態</t>
    <phoneticPr fontId="1" type="noConversion"/>
  </si>
  <si>
    <t>語音廣播</t>
    <phoneticPr fontId="1" type="noConversion"/>
  </si>
  <si>
    <t>點矩陣</t>
    <phoneticPr fontId="1" type="noConversion"/>
  </si>
  <si>
    <t>閉路電視</t>
    <phoneticPr fontId="1" type="noConversion"/>
  </si>
  <si>
    <t>無線電</t>
    <phoneticPr fontId="1" type="noConversion"/>
  </si>
  <si>
    <t>廣播</t>
    <phoneticPr fontId="1" type="noConversion"/>
  </si>
  <si>
    <t>告警</t>
    <phoneticPr fontId="1" type="noConversion"/>
  </si>
  <si>
    <t>系統</t>
    <phoneticPr fontId="1" type="noConversion"/>
  </si>
  <si>
    <t>系統告警</t>
    <phoneticPr fontId="1" type="noConversion"/>
  </si>
  <si>
    <t>狀態紀錄</t>
    <phoneticPr fontId="1" type="noConversion"/>
  </si>
  <si>
    <t>列車PIDS</t>
    <phoneticPr fontId="1" type="noConversion"/>
  </si>
  <si>
    <t>車站DMD</t>
    <phoneticPr fontId="1" type="noConversion"/>
  </si>
  <si>
    <t>群組呼叫</t>
    <phoneticPr fontId="1" type="noConversion"/>
  </si>
  <si>
    <t>個別呼叫</t>
    <phoneticPr fontId="1" type="noConversion"/>
  </si>
  <si>
    <t>撥號盤</t>
    <phoneticPr fontId="1" type="noConversion"/>
  </si>
  <si>
    <t>列車監聽</t>
    <phoneticPr fontId="1" type="noConversion"/>
  </si>
  <si>
    <t>預錄訊息</t>
    <phoneticPr fontId="1" type="noConversion"/>
  </si>
  <si>
    <t>排成樣板</t>
    <phoneticPr fontId="1" type="noConversion"/>
  </si>
  <si>
    <t>排成設定</t>
    <phoneticPr fontId="1" type="noConversion"/>
  </si>
  <si>
    <t>列車訊息</t>
    <phoneticPr fontId="1" type="noConversion"/>
  </si>
  <si>
    <t>顯示模式</t>
    <phoneticPr fontId="1" type="noConversion"/>
  </si>
  <si>
    <t>預錄語音</t>
    <phoneticPr fontId="1" type="noConversion"/>
  </si>
  <si>
    <t>廣播時段調整</t>
    <phoneticPr fontId="1" type="noConversion"/>
  </si>
  <si>
    <t>告警等級設定</t>
    <phoneticPr fontId="1" type="noConversion"/>
  </si>
  <si>
    <t>告警類型設定</t>
    <phoneticPr fontId="1" type="noConversion"/>
  </si>
  <si>
    <t>主控台設定</t>
    <phoneticPr fontId="1" type="noConversion"/>
  </si>
  <si>
    <t>群組與電話簿</t>
    <phoneticPr fontId="1" type="noConversion"/>
  </si>
  <si>
    <t>不雅字設定</t>
    <phoneticPr fontId="1" type="noConversion"/>
  </si>
  <si>
    <t>使用者</t>
    <phoneticPr fontId="1" type="noConversion"/>
  </si>
  <si>
    <t>使用者分類</t>
    <phoneticPr fontId="1" type="noConversion"/>
  </si>
  <si>
    <t>使用者帳號</t>
    <phoneticPr fontId="1" type="noConversion"/>
  </si>
  <si>
    <t>使用者密碼</t>
    <phoneticPr fontId="1" type="noConversion"/>
  </si>
  <si>
    <t>即時語音播送</t>
    <phoneticPr fontId="1" type="noConversion"/>
  </si>
  <si>
    <t>預錄語音播送</t>
    <phoneticPr fontId="1" type="noConversion"/>
  </si>
  <si>
    <t>車站廣播</t>
    <phoneticPr fontId="1" type="noConversion"/>
  </si>
  <si>
    <t>列車廣播</t>
    <phoneticPr fontId="1" type="noConversion"/>
  </si>
  <si>
    <t>預錄訊息發送</t>
    <phoneticPr fontId="1" type="noConversion"/>
  </si>
  <si>
    <t>即時訊息發送</t>
    <phoneticPr fontId="1" type="noConversion"/>
  </si>
  <si>
    <t>DeltaVMS畫面整合</t>
    <phoneticPr fontId="1" type="noConversion"/>
  </si>
  <si>
    <t>電視牆輪撥設定</t>
    <phoneticPr fontId="1" type="noConversion"/>
  </si>
  <si>
    <t>主頁</t>
    <phoneticPr fontId="1" type="noConversion"/>
  </si>
  <si>
    <t>現正撥放清單</t>
    <phoneticPr fontId="1" type="noConversion"/>
  </si>
  <si>
    <t>語音呼叫</t>
    <phoneticPr fontId="1" type="noConversion"/>
  </si>
  <si>
    <t>簡訊呼叫</t>
    <phoneticPr fontId="1" type="noConversion"/>
  </si>
  <si>
    <t>列車收音</t>
    <phoneticPr fontId="1" type="noConversion"/>
  </si>
  <si>
    <t>主控台配置</t>
    <phoneticPr fontId="1" type="noConversion"/>
  </si>
  <si>
    <t>語音權責設定</t>
    <phoneticPr fontId="1" type="noConversion"/>
  </si>
  <si>
    <t>廣播權限設定</t>
    <phoneticPr fontId="1" type="noConversion"/>
  </si>
  <si>
    <t>無線電群組</t>
    <phoneticPr fontId="1" type="noConversion"/>
  </si>
  <si>
    <t>直線電話簿</t>
    <phoneticPr fontId="1" type="noConversion"/>
  </si>
  <si>
    <t>車站群組</t>
    <phoneticPr fontId="1" type="noConversion"/>
  </si>
  <si>
    <t>列車群組</t>
    <phoneticPr fontId="1" type="noConversion"/>
  </si>
  <si>
    <t>主頁面區域</t>
    <phoneticPr fontId="1" type="noConversion"/>
  </si>
  <si>
    <t>直線電話區域</t>
    <phoneticPr fontId="1" type="noConversion"/>
  </si>
  <si>
    <t>直線電話來電顯示</t>
    <phoneticPr fontId="1" type="noConversion"/>
  </si>
  <si>
    <t>車站狀態區域</t>
    <phoneticPr fontId="1" type="noConversion"/>
  </si>
  <si>
    <t>通訊設備即時告警區域</t>
    <phoneticPr fontId="1" type="noConversion"/>
  </si>
  <si>
    <t>通訊設備即時告警顯示</t>
    <phoneticPr fontId="1" type="noConversion"/>
  </si>
  <si>
    <t>通訊設備即時告警篩選設定</t>
    <phoneticPr fontId="1" type="noConversion"/>
  </si>
  <si>
    <t>通訊設備即時告警歷史紀錄查詢</t>
    <phoneticPr fontId="1" type="noConversion"/>
  </si>
  <si>
    <t>PI來電佇列/接聽</t>
    <phoneticPr fontId="1" type="noConversion"/>
  </si>
  <si>
    <t>SI來電佇列/接聽</t>
    <phoneticPr fontId="1" type="noConversion"/>
  </si>
  <si>
    <t>無線電來電佇列/接聽</t>
    <phoneticPr fontId="1" type="noConversion"/>
  </si>
  <si>
    <t>無線電狀態顯示/呼叫</t>
    <phoneticPr fontId="1" type="noConversion"/>
  </si>
  <si>
    <t>車站狀態即時顯示</t>
    <phoneticPr fontId="1" type="noConversion"/>
  </si>
  <si>
    <t>告警搜尋</t>
    <phoneticPr fontId="1" type="noConversion"/>
  </si>
  <si>
    <t>告警匯出</t>
    <phoneticPr fontId="1" type="noConversion"/>
  </si>
  <si>
    <t>狀態搜尋</t>
    <phoneticPr fontId="1" type="noConversion"/>
  </si>
  <si>
    <t>狀態匯出</t>
    <phoneticPr fontId="1" type="noConversion"/>
  </si>
  <si>
    <t>無線來電顯示區域</t>
    <phoneticPr fontId="1" type="noConversion"/>
  </si>
  <si>
    <t>無線電操作區域</t>
    <phoneticPr fontId="1" type="noConversion"/>
  </si>
  <si>
    <t>畫面區域</t>
    <phoneticPr fontId="1" type="noConversion"/>
  </si>
  <si>
    <t>登入畫面</t>
    <phoneticPr fontId="1" type="noConversion"/>
  </si>
  <si>
    <t>登入登出功能</t>
    <phoneticPr fontId="1" type="noConversion"/>
  </si>
  <si>
    <t>登入前設定</t>
    <phoneticPr fontId="1" type="noConversion"/>
  </si>
  <si>
    <t>新增群組</t>
    <phoneticPr fontId="1" type="noConversion"/>
  </si>
  <si>
    <t>刪除群組</t>
    <phoneticPr fontId="1" type="noConversion"/>
  </si>
  <si>
    <t>排程樣板</t>
    <phoneticPr fontId="1" type="noConversion"/>
  </si>
  <si>
    <t>新增排程</t>
    <phoneticPr fontId="1" type="noConversion"/>
  </si>
  <si>
    <t>編輯排程</t>
    <phoneticPr fontId="1" type="noConversion"/>
  </si>
  <si>
    <t>刪除排程</t>
    <phoneticPr fontId="1" type="noConversion"/>
  </si>
  <si>
    <t>編輯群組</t>
    <phoneticPr fontId="1" type="noConversion"/>
  </si>
  <si>
    <t>新增群組內容</t>
    <phoneticPr fontId="1" type="noConversion"/>
  </si>
  <si>
    <t>編輯群組內容</t>
    <phoneticPr fontId="1" type="noConversion"/>
  </si>
  <si>
    <t>刪除群組內容</t>
    <phoneticPr fontId="1" type="noConversion"/>
  </si>
  <si>
    <t>新增</t>
    <phoneticPr fontId="1" type="noConversion"/>
  </si>
  <si>
    <t>編輯</t>
    <phoneticPr fontId="1" type="noConversion"/>
  </si>
  <si>
    <t>刪除</t>
    <phoneticPr fontId="1" type="noConversion"/>
  </si>
  <si>
    <t>預估開始日期</t>
    <phoneticPr fontId="1" type="noConversion"/>
  </si>
  <si>
    <t>預估結束日期</t>
    <phoneticPr fontId="1" type="noConversion"/>
  </si>
  <si>
    <t>實際開始日期</t>
    <phoneticPr fontId="1" type="noConversion"/>
  </si>
  <si>
    <t>實際結束日期</t>
    <phoneticPr fontId="1" type="noConversion"/>
  </si>
  <si>
    <t>預估工作日</t>
    <phoneticPr fontId="1" type="noConversion"/>
  </si>
  <si>
    <t>實際工作日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</si>
</sst>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b/>
      <sz val="22"/>
      <color theme="0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4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textRotation="255"/>
    </xf>
    <xf numFmtId="0" fontId="4" fillId="2" borderId="0" xfId="0" applyFont="1" applyFill="1" applyAlignment="1">
      <alignment horizontal="center" vertical="center"/>
    </xf>
    <xf numFmtId="14" fontId="2" fillId="0" borderId="0" xfId="0" applyNumberFormat="1" applyFont="1"/>
    <xf numFmtId="14" fontId="2" fillId="0" borderId="0" xfId="0" applyNumberFormat="1" applyFont="1" applyAlignment="1">
      <alignment horizontal="center" vertical="center"/>
    </xf>
  </cellXfs>
  <cellStyles count="1">
    <cellStyle name="一般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  <numFmt numFmtId="19" formatCode="yyyy/m/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  <numFmt numFmtId="19" formatCode="yyyy/m/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2D3E1B-B9D8-436D-9FF7-EF16A83C42C8}" name="表格1" displayName="表格1" ref="G1:L93" totalsRowShown="0" headerRowDxfId="7" dataDxfId="6">
  <autoFilter ref="G1:L93" xr:uid="{5D2D3E1B-B9D8-436D-9FF7-EF16A83C42C8}"/>
  <tableColumns count="6">
    <tableColumn id="1" xr3:uid="{2FB9EC79-478B-4C5F-BE34-F53676274087}" name="預估工作日" dataDxfId="5"/>
    <tableColumn id="2" xr3:uid="{9DCF1C9F-8D7D-4842-A245-A6A4AA9C6129}" name="預估開始日期" dataDxfId="1"/>
    <tableColumn id="3" xr3:uid="{9ACB9BA4-EE06-49E1-BD6C-0AAFDF63FA8B}" name="預估結束日期" dataDxfId="0">
      <calculatedColumnFormula>WORKDAY(表格1[[#This Row],[預估開始日期]],表格1[[#This Row],[預估工作日]])</calculatedColumnFormula>
    </tableColumn>
    <tableColumn id="4" xr3:uid="{254EF402-322E-472B-945F-BFB58112C7FF}" name="實際工作日" dataDxfId="4"/>
    <tableColumn id="5" xr3:uid="{18735A3A-093C-4EFD-BDC8-4E52325A9E96}" name="實際開始日期" dataDxfId="3"/>
    <tableColumn id="6" xr3:uid="{3240ECEF-B9CE-49B4-A6C9-A5E60E5CCB4C}" name="實際結束日期" dataDxfId="2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3"/>
  <sheetViews>
    <sheetView tabSelected="1" topLeftCell="A74" zoomScaleNormal="100" workbookViewId="0">
      <selection activeCell="O28" sqref="O28"/>
    </sheetView>
  </sheetViews>
  <sheetFormatPr defaultRowHeight="18.75" x14ac:dyDescent="0.3"/>
  <cols>
    <col min="1" max="1" width="32" style="5" bestFit="1" customWidth="1"/>
    <col min="2" max="2" width="5" style="3" bestFit="1" customWidth="1"/>
    <col min="3" max="3" width="10.5703125" style="3" bestFit="1" customWidth="1"/>
    <col min="4" max="4" width="15.42578125" style="2" bestFit="1" customWidth="1"/>
    <col min="5" max="5" width="15.42578125" style="3" customWidth="1"/>
    <col min="6" max="6" width="15.42578125" style="1" bestFit="1" customWidth="1"/>
    <col min="7" max="7" width="20.7109375" style="1" customWidth="1"/>
    <col min="8" max="9" width="20.7109375" style="14" customWidth="1"/>
    <col min="10" max="12" width="20.7109375" style="1" customWidth="1"/>
    <col min="13" max="16384" width="9.140625" style="1"/>
  </cols>
  <sheetData>
    <row r="1" spans="1:12" ht="28.5" x14ac:dyDescent="0.25">
      <c r="A1" s="6" t="s">
        <v>73</v>
      </c>
      <c r="B1" s="13" t="s">
        <v>0</v>
      </c>
      <c r="C1" s="13"/>
      <c r="D1" s="13"/>
      <c r="E1" s="13"/>
      <c r="F1" s="13"/>
      <c r="G1" s="7" t="s">
        <v>94</v>
      </c>
      <c r="H1" s="15" t="s">
        <v>90</v>
      </c>
      <c r="I1" s="15" t="s">
        <v>91</v>
      </c>
      <c r="J1" s="7" t="s">
        <v>95</v>
      </c>
      <c r="K1" s="7" t="s">
        <v>92</v>
      </c>
      <c r="L1" s="7" t="s">
        <v>93</v>
      </c>
    </row>
    <row r="2" spans="1:12" ht="15" x14ac:dyDescent="0.25">
      <c r="A2" s="11" t="s">
        <v>74</v>
      </c>
      <c r="B2" s="9" t="s">
        <v>75</v>
      </c>
      <c r="C2" s="9"/>
      <c r="D2" s="9"/>
      <c r="E2" s="9"/>
      <c r="F2" s="9"/>
      <c r="G2" s="1">
        <v>20</v>
      </c>
      <c r="H2" s="14">
        <v>45809</v>
      </c>
      <c r="I2" s="14">
        <f>WORKDAY(表格1[[#This Row],[預估開始日期]],表格1[[#This Row],[預估工作日]])</f>
        <v>45835</v>
      </c>
    </row>
    <row r="3" spans="1:12" ht="15" x14ac:dyDescent="0.25">
      <c r="A3" s="11"/>
      <c r="B3" s="9" t="s">
        <v>76</v>
      </c>
      <c r="C3" s="9"/>
      <c r="D3" s="9"/>
      <c r="E3" s="9"/>
      <c r="F3" s="9"/>
      <c r="G3" s="1">
        <v>20</v>
      </c>
      <c r="H3" s="14">
        <f>I2</f>
        <v>45835</v>
      </c>
      <c r="I3" s="14">
        <f>WORKDAY(表格1[[#This Row],[預估開始日期]],表格1[[#This Row],[預估工作日]])</f>
        <v>45863</v>
      </c>
    </row>
    <row r="4" spans="1:12" x14ac:dyDescent="0.25">
      <c r="A4" s="4" t="s">
        <v>57</v>
      </c>
      <c r="B4" s="9" t="s">
        <v>66</v>
      </c>
      <c r="C4" s="9"/>
      <c r="D4" s="9"/>
      <c r="E4" s="9"/>
      <c r="F4" s="9"/>
      <c r="G4" s="1">
        <v>20</v>
      </c>
      <c r="H4" s="14">
        <f t="shared" ref="H4:H67" si="0">I3</f>
        <v>45863</v>
      </c>
      <c r="I4" s="14">
        <f>WORKDAY(表格1[[#This Row],[預估開始日期]],表格1[[#This Row],[預估工作日]])</f>
        <v>45891</v>
      </c>
    </row>
    <row r="5" spans="1:12" ht="15" x14ac:dyDescent="0.25">
      <c r="A5" s="11" t="s">
        <v>71</v>
      </c>
      <c r="B5" s="9" t="s">
        <v>64</v>
      </c>
      <c r="C5" s="9"/>
      <c r="D5" s="9"/>
      <c r="E5" s="9"/>
      <c r="F5" s="9"/>
      <c r="G5" s="1">
        <v>20</v>
      </c>
      <c r="H5" s="14">
        <f t="shared" si="0"/>
        <v>45891</v>
      </c>
      <c r="I5" s="14">
        <f>WORKDAY(表格1[[#This Row],[預估開始日期]],表格1[[#This Row],[預估工作日]])</f>
        <v>45919</v>
      </c>
    </row>
    <row r="6" spans="1:12" ht="15" x14ac:dyDescent="0.25">
      <c r="A6" s="11"/>
      <c r="B6" s="9" t="s">
        <v>62</v>
      </c>
      <c r="C6" s="9"/>
      <c r="D6" s="9"/>
      <c r="E6" s="9"/>
      <c r="F6" s="9"/>
      <c r="G6" s="1">
        <v>20</v>
      </c>
      <c r="H6" s="14">
        <f t="shared" si="0"/>
        <v>45919</v>
      </c>
      <c r="I6" s="14">
        <f>WORKDAY(表格1[[#This Row],[預估開始日期]],表格1[[#This Row],[預估工作日]])</f>
        <v>45947</v>
      </c>
    </row>
    <row r="7" spans="1:12" ht="15" x14ac:dyDescent="0.25">
      <c r="A7" s="11"/>
      <c r="B7" s="9" t="s">
        <v>63</v>
      </c>
      <c r="C7" s="9"/>
      <c r="D7" s="9"/>
      <c r="E7" s="9"/>
      <c r="F7" s="9"/>
      <c r="G7" s="1">
        <v>20</v>
      </c>
      <c r="H7" s="14">
        <f t="shared" si="0"/>
        <v>45947</v>
      </c>
      <c r="I7" s="14">
        <f>WORKDAY(表格1[[#This Row],[預估開始日期]],表格1[[#This Row],[預估工作日]])</f>
        <v>45975</v>
      </c>
    </row>
    <row r="8" spans="1:12" x14ac:dyDescent="0.25">
      <c r="A8" s="4" t="s">
        <v>72</v>
      </c>
      <c r="B8" s="9" t="s">
        <v>65</v>
      </c>
      <c r="C8" s="9"/>
      <c r="D8" s="9"/>
      <c r="E8" s="9"/>
      <c r="F8" s="9"/>
      <c r="G8" s="1">
        <v>20</v>
      </c>
      <c r="H8" s="14">
        <f t="shared" si="0"/>
        <v>45975</v>
      </c>
      <c r="I8" s="14">
        <f>WORKDAY(表格1[[#This Row],[預估開始日期]],表格1[[#This Row],[預估工作日]])</f>
        <v>46003</v>
      </c>
    </row>
    <row r="9" spans="1:12" x14ac:dyDescent="0.25">
      <c r="A9" s="4" t="s">
        <v>55</v>
      </c>
      <c r="B9" s="9" t="s">
        <v>56</v>
      </c>
      <c r="C9" s="9"/>
      <c r="D9" s="9"/>
      <c r="E9" s="9"/>
      <c r="F9" s="9"/>
      <c r="G9" s="1">
        <v>10</v>
      </c>
      <c r="H9" s="14">
        <f t="shared" si="0"/>
        <v>46003</v>
      </c>
      <c r="I9" s="14">
        <f>WORKDAY(表格1[[#This Row],[預估開始日期]],表格1[[#This Row],[預估工作日]])</f>
        <v>46017</v>
      </c>
    </row>
    <row r="10" spans="1:12" ht="15" x14ac:dyDescent="0.25">
      <c r="A10" s="11" t="s">
        <v>58</v>
      </c>
      <c r="B10" s="9" t="s">
        <v>59</v>
      </c>
      <c r="C10" s="9"/>
      <c r="D10" s="9"/>
      <c r="E10" s="9"/>
      <c r="F10" s="9"/>
      <c r="G10" s="1">
        <v>8</v>
      </c>
      <c r="H10" s="14">
        <f t="shared" si="0"/>
        <v>46017</v>
      </c>
      <c r="I10" s="14">
        <f>WORKDAY(表格1[[#This Row],[預估開始日期]],表格1[[#This Row],[預估工作日]])</f>
        <v>46029</v>
      </c>
    </row>
    <row r="11" spans="1:12" ht="15" x14ac:dyDescent="0.25">
      <c r="A11" s="11"/>
      <c r="B11" s="9" t="s">
        <v>60</v>
      </c>
      <c r="C11" s="9"/>
      <c r="D11" s="9"/>
      <c r="E11" s="9"/>
      <c r="F11" s="9"/>
      <c r="G11" s="1">
        <v>8</v>
      </c>
      <c r="H11" s="14">
        <f t="shared" si="0"/>
        <v>46029</v>
      </c>
      <c r="I11" s="14">
        <f>WORKDAY(表格1[[#This Row],[預估開始日期]],表格1[[#This Row],[預估工作日]])</f>
        <v>46041</v>
      </c>
    </row>
    <row r="12" spans="1:12" ht="15" x14ac:dyDescent="0.25">
      <c r="A12" s="11"/>
      <c r="B12" s="9" t="s">
        <v>61</v>
      </c>
      <c r="C12" s="9"/>
      <c r="D12" s="9"/>
      <c r="E12" s="9"/>
      <c r="F12" s="9"/>
      <c r="G12" s="1">
        <v>8</v>
      </c>
      <c r="H12" s="14">
        <f t="shared" si="0"/>
        <v>46041</v>
      </c>
      <c r="I12" s="14">
        <f>WORKDAY(表格1[[#This Row],[預估開始日期]],表格1[[#This Row],[預估工作日]])</f>
        <v>46051</v>
      </c>
    </row>
    <row r="13" spans="1:12" ht="15" x14ac:dyDescent="0.25">
      <c r="A13" s="11" t="s">
        <v>54</v>
      </c>
      <c r="B13" s="12" t="s">
        <v>0</v>
      </c>
      <c r="C13" s="9" t="s">
        <v>3</v>
      </c>
      <c r="D13" s="2" t="s">
        <v>42</v>
      </c>
      <c r="E13" s="9" t="s">
        <v>43</v>
      </c>
      <c r="F13" s="9"/>
      <c r="G13" s="1">
        <v>10</v>
      </c>
      <c r="H13" s="14">
        <f t="shared" si="0"/>
        <v>46051</v>
      </c>
      <c r="I13" s="14">
        <f>WORKDAY(表格1[[#This Row],[預估開始日期]],表格1[[#This Row],[預估工作日]])</f>
        <v>46065</v>
      </c>
    </row>
    <row r="14" spans="1:12" ht="15" x14ac:dyDescent="0.25">
      <c r="A14" s="11"/>
      <c r="B14" s="12"/>
      <c r="C14" s="9"/>
      <c r="D14" s="10" t="s">
        <v>37</v>
      </c>
      <c r="E14" s="9" t="s">
        <v>35</v>
      </c>
      <c r="F14" s="9"/>
      <c r="G14" s="1">
        <v>10</v>
      </c>
      <c r="H14" s="14">
        <f t="shared" si="0"/>
        <v>46065</v>
      </c>
      <c r="I14" s="14">
        <f>WORKDAY(表格1[[#This Row],[預估開始日期]],表格1[[#This Row],[預估工作日]])</f>
        <v>46079</v>
      </c>
    </row>
    <row r="15" spans="1:12" ht="15" x14ac:dyDescent="0.25">
      <c r="A15" s="11"/>
      <c r="B15" s="12"/>
      <c r="C15" s="9"/>
      <c r="D15" s="10"/>
      <c r="E15" s="9" t="s">
        <v>34</v>
      </c>
      <c r="F15" s="9"/>
      <c r="G15" s="1">
        <v>10</v>
      </c>
      <c r="H15" s="14">
        <f t="shared" si="0"/>
        <v>46079</v>
      </c>
      <c r="I15" s="14">
        <f>WORKDAY(表格1[[#This Row],[預估開始日期]],表格1[[#This Row],[預估工作日]])</f>
        <v>46093</v>
      </c>
    </row>
    <row r="16" spans="1:12" ht="15" x14ac:dyDescent="0.25">
      <c r="A16" s="11"/>
      <c r="B16" s="12"/>
      <c r="C16" s="9"/>
      <c r="D16" s="10" t="s">
        <v>36</v>
      </c>
      <c r="E16" s="9" t="s">
        <v>35</v>
      </c>
      <c r="F16" s="9"/>
      <c r="G16" s="1">
        <v>10</v>
      </c>
      <c r="H16" s="14">
        <f t="shared" si="0"/>
        <v>46093</v>
      </c>
      <c r="I16" s="14">
        <f>WORKDAY(表格1[[#This Row],[預估開始日期]],表格1[[#This Row],[預估工作日]])</f>
        <v>46107</v>
      </c>
    </row>
    <row r="17" spans="1:9" ht="15" x14ac:dyDescent="0.25">
      <c r="A17" s="11"/>
      <c r="B17" s="12"/>
      <c r="C17" s="9"/>
      <c r="D17" s="10"/>
      <c r="E17" s="9" t="s">
        <v>34</v>
      </c>
      <c r="F17" s="9"/>
      <c r="G17" s="1">
        <v>10</v>
      </c>
      <c r="H17" s="14">
        <f t="shared" si="0"/>
        <v>46107</v>
      </c>
      <c r="I17" s="14">
        <f>WORKDAY(表格1[[#This Row],[預估開始日期]],表格1[[#This Row],[預估工作日]])</f>
        <v>46121</v>
      </c>
    </row>
    <row r="18" spans="1:9" ht="15" x14ac:dyDescent="0.25">
      <c r="A18" s="11"/>
      <c r="B18" s="12"/>
      <c r="C18" s="9" t="s">
        <v>4</v>
      </c>
      <c r="D18" s="2" t="s">
        <v>42</v>
      </c>
      <c r="E18" s="9" t="s">
        <v>43</v>
      </c>
      <c r="F18" s="9"/>
      <c r="G18" s="1">
        <v>10</v>
      </c>
      <c r="H18" s="14">
        <f t="shared" si="0"/>
        <v>46121</v>
      </c>
      <c r="I18" s="14">
        <f>WORKDAY(表格1[[#This Row],[預估開始日期]],表格1[[#This Row],[預估工作日]])</f>
        <v>46135</v>
      </c>
    </row>
    <row r="19" spans="1:9" ht="15" x14ac:dyDescent="0.25">
      <c r="A19" s="11"/>
      <c r="B19" s="12"/>
      <c r="C19" s="9"/>
      <c r="D19" s="10" t="s">
        <v>12</v>
      </c>
      <c r="E19" s="9" t="s">
        <v>38</v>
      </c>
      <c r="F19" s="9"/>
      <c r="G19" s="1">
        <v>10</v>
      </c>
      <c r="H19" s="14">
        <f t="shared" si="0"/>
        <v>46135</v>
      </c>
      <c r="I19" s="14">
        <f>WORKDAY(表格1[[#This Row],[預估開始日期]],表格1[[#This Row],[預估工作日]])</f>
        <v>46149</v>
      </c>
    </row>
    <row r="20" spans="1:9" ht="15" x14ac:dyDescent="0.25">
      <c r="A20" s="11"/>
      <c r="B20" s="12"/>
      <c r="C20" s="9"/>
      <c r="D20" s="10"/>
      <c r="E20" s="9" t="s">
        <v>39</v>
      </c>
      <c r="F20" s="9"/>
      <c r="G20" s="1">
        <v>10</v>
      </c>
      <c r="H20" s="14">
        <f t="shared" si="0"/>
        <v>46149</v>
      </c>
      <c r="I20" s="14">
        <f>WORKDAY(表格1[[#This Row],[預估開始日期]],表格1[[#This Row],[預估工作日]])</f>
        <v>46163</v>
      </c>
    </row>
    <row r="21" spans="1:9" ht="15" x14ac:dyDescent="0.25">
      <c r="A21" s="11"/>
      <c r="B21" s="12"/>
      <c r="C21" s="9"/>
      <c r="D21" s="10" t="s">
        <v>13</v>
      </c>
      <c r="E21" s="9" t="s">
        <v>38</v>
      </c>
      <c r="F21" s="9"/>
      <c r="G21" s="1">
        <v>10</v>
      </c>
      <c r="H21" s="14">
        <f t="shared" si="0"/>
        <v>46163</v>
      </c>
      <c r="I21" s="14">
        <f>WORKDAY(表格1[[#This Row],[預估開始日期]],表格1[[#This Row],[預估工作日]])</f>
        <v>46177</v>
      </c>
    </row>
    <row r="22" spans="1:9" ht="15" x14ac:dyDescent="0.25">
      <c r="A22" s="11"/>
      <c r="B22" s="12"/>
      <c r="C22" s="9"/>
      <c r="D22" s="10"/>
      <c r="E22" s="9" t="s">
        <v>39</v>
      </c>
      <c r="F22" s="9"/>
      <c r="G22" s="1">
        <v>10</v>
      </c>
      <c r="H22" s="14">
        <f t="shared" si="0"/>
        <v>46177</v>
      </c>
      <c r="I22" s="14">
        <f>WORKDAY(表格1[[#This Row],[預估開始日期]],表格1[[#This Row],[預估工作日]])</f>
        <v>46191</v>
      </c>
    </row>
    <row r="23" spans="1:9" ht="15" x14ac:dyDescent="0.25">
      <c r="A23" s="11"/>
      <c r="B23" s="12"/>
      <c r="C23" s="9" t="s">
        <v>5</v>
      </c>
      <c r="D23" s="8" t="s">
        <v>40</v>
      </c>
      <c r="E23" s="8"/>
      <c r="F23" s="8"/>
      <c r="G23" s="1">
        <v>20</v>
      </c>
      <c r="H23" s="14">
        <f t="shared" si="0"/>
        <v>46191</v>
      </c>
      <c r="I23" s="14">
        <f>WORKDAY(表格1[[#This Row],[預估開始日期]],表格1[[#This Row],[預估工作日]])</f>
        <v>46219</v>
      </c>
    </row>
    <row r="24" spans="1:9" ht="15" x14ac:dyDescent="0.25">
      <c r="A24" s="11"/>
      <c r="B24" s="12"/>
      <c r="C24" s="9"/>
      <c r="D24" s="8" t="s">
        <v>41</v>
      </c>
      <c r="E24" s="8"/>
      <c r="F24" s="8"/>
      <c r="G24" s="1">
        <v>20</v>
      </c>
      <c r="H24" s="14">
        <f t="shared" si="0"/>
        <v>46219</v>
      </c>
      <c r="I24" s="14">
        <f>WORKDAY(表格1[[#This Row],[預估開始日期]],表格1[[#This Row],[預估工作日]])</f>
        <v>46247</v>
      </c>
    </row>
    <row r="25" spans="1:9" ht="15" x14ac:dyDescent="0.25">
      <c r="A25" s="11"/>
      <c r="B25" s="12"/>
      <c r="C25" s="9" t="s">
        <v>6</v>
      </c>
      <c r="D25" s="10" t="s">
        <v>14</v>
      </c>
      <c r="E25" s="9" t="s">
        <v>44</v>
      </c>
      <c r="F25" s="9"/>
      <c r="G25" s="1">
        <v>10</v>
      </c>
      <c r="H25" s="14">
        <f t="shared" si="0"/>
        <v>46247</v>
      </c>
      <c r="I25" s="14">
        <f>WORKDAY(表格1[[#This Row],[預估開始日期]],表格1[[#This Row],[預估工作日]])</f>
        <v>46261</v>
      </c>
    </row>
    <row r="26" spans="1:9" ht="15" x14ac:dyDescent="0.25">
      <c r="A26" s="11"/>
      <c r="B26" s="12"/>
      <c r="C26" s="9"/>
      <c r="D26" s="10"/>
      <c r="E26" s="9" t="s">
        <v>45</v>
      </c>
      <c r="F26" s="9"/>
      <c r="G26" s="1">
        <v>10</v>
      </c>
      <c r="H26" s="14">
        <f t="shared" si="0"/>
        <v>46261</v>
      </c>
      <c r="I26" s="14">
        <f>WORKDAY(表格1[[#This Row],[預估開始日期]],表格1[[#This Row],[預估工作日]])</f>
        <v>46275</v>
      </c>
    </row>
    <row r="27" spans="1:9" ht="15" x14ac:dyDescent="0.25">
      <c r="A27" s="11"/>
      <c r="B27" s="12"/>
      <c r="C27" s="9"/>
      <c r="D27" s="10" t="s">
        <v>15</v>
      </c>
      <c r="E27" s="9" t="s">
        <v>44</v>
      </c>
      <c r="F27" s="9"/>
      <c r="G27" s="1">
        <v>10</v>
      </c>
      <c r="H27" s="14">
        <f t="shared" si="0"/>
        <v>46275</v>
      </c>
      <c r="I27" s="14">
        <f>WORKDAY(表格1[[#This Row],[預估開始日期]],表格1[[#This Row],[預估工作日]])</f>
        <v>46289</v>
      </c>
    </row>
    <row r="28" spans="1:9" ht="15" x14ac:dyDescent="0.25">
      <c r="A28" s="11"/>
      <c r="B28" s="12"/>
      <c r="C28" s="9"/>
      <c r="D28" s="10"/>
      <c r="E28" s="9" t="s">
        <v>45</v>
      </c>
      <c r="F28" s="9"/>
      <c r="G28" s="1">
        <v>10</v>
      </c>
      <c r="H28" s="14">
        <f t="shared" si="0"/>
        <v>46289</v>
      </c>
      <c r="I28" s="14">
        <f>WORKDAY(表格1[[#This Row],[預估開始日期]],表格1[[#This Row],[預估工作日]])</f>
        <v>46303</v>
      </c>
    </row>
    <row r="29" spans="1:9" ht="15" x14ac:dyDescent="0.25">
      <c r="A29" s="11"/>
      <c r="B29" s="12"/>
      <c r="C29" s="9"/>
      <c r="D29" s="10" t="s">
        <v>16</v>
      </c>
      <c r="E29" s="9" t="s">
        <v>44</v>
      </c>
      <c r="F29" s="9"/>
      <c r="G29" s="1">
        <v>10</v>
      </c>
      <c r="H29" s="14">
        <f t="shared" si="0"/>
        <v>46303</v>
      </c>
      <c r="I29" s="14">
        <f>WORKDAY(表格1[[#This Row],[預估開始日期]],表格1[[#This Row],[預估工作日]])</f>
        <v>46317</v>
      </c>
    </row>
    <row r="30" spans="1:9" ht="15" x14ac:dyDescent="0.25">
      <c r="A30" s="11"/>
      <c r="B30" s="12"/>
      <c r="C30" s="9"/>
      <c r="D30" s="10"/>
      <c r="E30" s="9" t="s">
        <v>45</v>
      </c>
      <c r="F30" s="9"/>
      <c r="G30" s="1">
        <v>10</v>
      </c>
      <c r="H30" s="14">
        <f t="shared" si="0"/>
        <v>46317</v>
      </c>
      <c r="I30" s="14">
        <f>WORKDAY(表格1[[#This Row],[預估開始日期]],表格1[[#This Row],[預估工作日]])</f>
        <v>46331</v>
      </c>
    </row>
    <row r="31" spans="1:9" ht="15" x14ac:dyDescent="0.25">
      <c r="A31" s="11"/>
      <c r="B31" s="12"/>
      <c r="C31" s="3" t="s">
        <v>17</v>
      </c>
      <c r="D31" s="8" t="s">
        <v>46</v>
      </c>
      <c r="E31" s="8"/>
      <c r="F31" s="8"/>
      <c r="G31" s="1">
        <v>10</v>
      </c>
      <c r="H31" s="14">
        <f t="shared" si="0"/>
        <v>46331</v>
      </c>
      <c r="I31" s="14">
        <f>WORKDAY(表格1[[#This Row],[預估開始日期]],表格1[[#This Row],[預估工作日]])</f>
        <v>46345</v>
      </c>
    </row>
    <row r="32" spans="1:9" ht="15" x14ac:dyDescent="0.25">
      <c r="A32" s="11"/>
      <c r="B32" s="12" t="s">
        <v>1</v>
      </c>
      <c r="C32" s="9" t="s">
        <v>4</v>
      </c>
      <c r="D32" s="9" t="s">
        <v>18</v>
      </c>
      <c r="E32" s="9"/>
      <c r="F32" s="1" t="s">
        <v>77</v>
      </c>
      <c r="G32" s="1">
        <v>6</v>
      </c>
      <c r="H32" s="14">
        <f t="shared" si="0"/>
        <v>46345</v>
      </c>
      <c r="I32" s="14">
        <f>WORKDAY(表格1[[#This Row],[預估開始日期]],表格1[[#This Row],[預估工作日]])</f>
        <v>46353</v>
      </c>
    </row>
    <row r="33" spans="1:9" ht="15" x14ac:dyDescent="0.25">
      <c r="A33" s="11"/>
      <c r="B33" s="12"/>
      <c r="C33" s="9"/>
      <c r="D33" s="9"/>
      <c r="E33" s="9"/>
      <c r="F33" s="1" t="s">
        <v>83</v>
      </c>
      <c r="G33" s="1">
        <v>6</v>
      </c>
      <c r="H33" s="14">
        <f t="shared" si="0"/>
        <v>46353</v>
      </c>
      <c r="I33" s="14">
        <f>WORKDAY(表格1[[#This Row],[預估開始日期]],表格1[[#This Row],[預估工作日]])</f>
        <v>46363</v>
      </c>
    </row>
    <row r="34" spans="1:9" ht="15" x14ac:dyDescent="0.25">
      <c r="A34" s="11"/>
      <c r="B34" s="12"/>
      <c r="C34" s="9"/>
      <c r="D34" s="9"/>
      <c r="E34" s="9"/>
      <c r="F34" s="1" t="s">
        <v>78</v>
      </c>
      <c r="G34" s="1">
        <v>6</v>
      </c>
      <c r="H34" s="14">
        <f t="shared" si="0"/>
        <v>46363</v>
      </c>
      <c r="I34" s="14">
        <f>WORKDAY(表格1[[#This Row],[預估開始日期]],表格1[[#This Row],[預估工作日]])</f>
        <v>46371</v>
      </c>
    </row>
    <row r="35" spans="1:9" ht="15" x14ac:dyDescent="0.25">
      <c r="A35" s="11"/>
      <c r="B35" s="12"/>
      <c r="C35" s="9"/>
      <c r="D35" s="9"/>
      <c r="E35" s="9"/>
      <c r="F35" s="1" t="s">
        <v>84</v>
      </c>
      <c r="G35" s="1">
        <v>6</v>
      </c>
      <c r="H35" s="14">
        <f t="shared" si="0"/>
        <v>46371</v>
      </c>
      <c r="I35" s="14">
        <f>WORKDAY(表格1[[#This Row],[預估開始日期]],表格1[[#This Row],[預估工作日]])</f>
        <v>46379</v>
      </c>
    </row>
    <row r="36" spans="1:9" ht="15" x14ac:dyDescent="0.25">
      <c r="A36" s="11"/>
      <c r="B36" s="12"/>
      <c r="C36" s="9"/>
      <c r="D36" s="9"/>
      <c r="E36" s="9"/>
      <c r="F36" s="1" t="s">
        <v>85</v>
      </c>
      <c r="G36" s="1">
        <v>6</v>
      </c>
      <c r="H36" s="14">
        <f t="shared" si="0"/>
        <v>46379</v>
      </c>
      <c r="I36" s="14">
        <f>WORKDAY(表格1[[#This Row],[預估開始日期]],表格1[[#This Row],[預估工作日]])</f>
        <v>46387</v>
      </c>
    </row>
    <row r="37" spans="1:9" ht="15" x14ac:dyDescent="0.25">
      <c r="A37" s="11"/>
      <c r="B37" s="12"/>
      <c r="C37" s="9"/>
      <c r="D37" s="9"/>
      <c r="E37" s="9"/>
      <c r="F37" s="1" t="s">
        <v>86</v>
      </c>
      <c r="G37" s="1">
        <v>6</v>
      </c>
      <c r="H37" s="14">
        <f t="shared" si="0"/>
        <v>46387</v>
      </c>
      <c r="I37" s="14">
        <f>WORKDAY(表格1[[#This Row],[預估開始日期]],表格1[[#This Row],[預估工作日]])</f>
        <v>46395</v>
      </c>
    </row>
    <row r="38" spans="1:9" ht="15" x14ac:dyDescent="0.25">
      <c r="A38" s="11"/>
      <c r="B38" s="12"/>
      <c r="C38" s="9"/>
      <c r="D38" s="9" t="s">
        <v>79</v>
      </c>
      <c r="E38" s="9"/>
      <c r="F38" s="1" t="s">
        <v>80</v>
      </c>
      <c r="G38" s="1">
        <v>6</v>
      </c>
      <c r="H38" s="14">
        <f t="shared" si="0"/>
        <v>46395</v>
      </c>
      <c r="I38" s="14">
        <f>WORKDAY(表格1[[#This Row],[預估開始日期]],表格1[[#This Row],[預估工作日]])</f>
        <v>46405</v>
      </c>
    </row>
    <row r="39" spans="1:9" ht="15" x14ac:dyDescent="0.25">
      <c r="A39" s="11"/>
      <c r="B39" s="12"/>
      <c r="C39" s="9"/>
      <c r="D39" s="9"/>
      <c r="E39" s="9"/>
      <c r="F39" s="1" t="s">
        <v>81</v>
      </c>
      <c r="G39" s="1">
        <v>6</v>
      </c>
      <c r="H39" s="14">
        <f t="shared" si="0"/>
        <v>46405</v>
      </c>
      <c r="I39" s="14">
        <f>WORKDAY(表格1[[#This Row],[預估開始日期]],表格1[[#This Row],[預估工作日]])</f>
        <v>46413</v>
      </c>
    </row>
    <row r="40" spans="1:9" ht="15" x14ac:dyDescent="0.25">
      <c r="A40" s="11"/>
      <c r="B40" s="12"/>
      <c r="C40" s="9"/>
      <c r="D40" s="9"/>
      <c r="E40" s="9"/>
      <c r="F40" s="1" t="s">
        <v>82</v>
      </c>
      <c r="G40" s="1">
        <v>6</v>
      </c>
      <c r="H40" s="14">
        <f t="shared" si="0"/>
        <v>46413</v>
      </c>
      <c r="I40" s="14">
        <f>WORKDAY(表格1[[#This Row],[預估開始日期]],表格1[[#This Row],[預估工作日]])</f>
        <v>46421</v>
      </c>
    </row>
    <row r="41" spans="1:9" ht="15" x14ac:dyDescent="0.25">
      <c r="A41" s="11"/>
      <c r="B41" s="12"/>
      <c r="C41" s="9"/>
      <c r="D41" s="8" t="s">
        <v>20</v>
      </c>
      <c r="E41" s="8"/>
      <c r="F41" s="8"/>
      <c r="G41" s="1">
        <v>10</v>
      </c>
      <c r="H41" s="14">
        <f t="shared" si="0"/>
        <v>46421</v>
      </c>
      <c r="I41" s="14">
        <f>WORKDAY(表格1[[#This Row],[預估開始日期]],表格1[[#This Row],[預估工作日]])</f>
        <v>46435</v>
      </c>
    </row>
    <row r="42" spans="1:9" ht="15" x14ac:dyDescent="0.25">
      <c r="A42" s="11"/>
      <c r="B42" s="12"/>
      <c r="C42" s="9"/>
      <c r="D42" s="8" t="s">
        <v>21</v>
      </c>
      <c r="E42" s="8"/>
      <c r="F42" s="8"/>
      <c r="G42" s="1">
        <v>10</v>
      </c>
      <c r="H42" s="14">
        <f t="shared" si="0"/>
        <v>46435</v>
      </c>
      <c r="I42" s="14">
        <f>WORKDAY(表格1[[#This Row],[預估開始日期]],表格1[[#This Row],[預估工作日]])</f>
        <v>46449</v>
      </c>
    </row>
    <row r="43" spans="1:9" ht="15" x14ac:dyDescent="0.25">
      <c r="A43" s="11"/>
      <c r="B43" s="12"/>
      <c r="C43" s="9"/>
      <c r="D43" s="8" t="s">
        <v>22</v>
      </c>
      <c r="E43" s="8"/>
      <c r="F43" s="8"/>
      <c r="G43" s="1">
        <v>10</v>
      </c>
      <c r="H43" s="14">
        <f t="shared" si="0"/>
        <v>46449</v>
      </c>
      <c r="I43" s="14">
        <f>WORKDAY(表格1[[#This Row],[預估開始日期]],表格1[[#This Row],[預估工作日]])</f>
        <v>46463</v>
      </c>
    </row>
    <row r="44" spans="1:9" ht="15.75" customHeight="1" x14ac:dyDescent="0.25">
      <c r="A44" s="11"/>
      <c r="B44" s="12"/>
      <c r="C44" s="9" t="s">
        <v>7</v>
      </c>
      <c r="D44" s="9" t="s">
        <v>23</v>
      </c>
      <c r="E44" s="9"/>
      <c r="F44" s="1" t="s">
        <v>77</v>
      </c>
      <c r="G44" s="1">
        <v>6</v>
      </c>
      <c r="H44" s="14">
        <f t="shared" si="0"/>
        <v>46463</v>
      </c>
      <c r="I44" s="14">
        <f>WORKDAY(表格1[[#This Row],[預估開始日期]],表格1[[#This Row],[預估工作日]])</f>
        <v>46471</v>
      </c>
    </row>
    <row r="45" spans="1:9" ht="15" x14ac:dyDescent="0.25">
      <c r="A45" s="11"/>
      <c r="B45" s="12"/>
      <c r="C45" s="9"/>
      <c r="D45" s="9"/>
      <c r="E45" s="9"/>
      <c r="F45" s="1" t="s">
        <v>83</v>
      </c>
      <c r="G45" s="1">
        <v>6</v>
      </c>
      <c r="H45" s="14">
        <f t="shared" si="0"/>
        <v>46471</v>
      </c>
      <c r="I45" s="14">
        <f>WORKDAY(表格1[[#This Row],[預估開始日期]],表格1[[#This Row],[預估工作日]])</f>
        <v>46479</v>
      </c>
    </row>
    <row r="46" spans="1:9" ht="15" x14ac:dyDescent="0.25">
      <c r="A46" s="11"/>
      <c r="B46" s="12"/>
      <c r="C46" s="9"/>
      <c r="D46" s="9"/>
      <c r="E46" s="9"/>
      <c r="F46" s="1" t="s">
        <v>78</v>
      </c>
      <c r="G46" s="1">
        <v>6</v>
      </c>
      <c r="H46" s="14">
        <f t="shared" si="0"/>
        <v>46479</v>
      </c>
      <c r="I46" s="14">
        <f>WORKDAY(表格1[[#This Row],[預估開始日期]],表格1[[#This Row],[預估工作日]])</f>
        <v>46489</v>
      </c>
    </row>
    <row r="47" spans="1:9" ht="15" x14ac:dyDescent="0.25">
      <c r="A47" s="11"/>
      <c r="B47" s="12"/>
      <c r="C47" s="9"/>
      <c r="D47" s="9"/>
      <c r="E47" s="9"/>
      <c r="F47" s="1" t="s">
        <v>84</v>
      </c>
      <c r="G47" s="1">
        <v>6</v>
      </c>
      <c r="H47" s="14">
        <f t="shared" si="0"/>
        <v>46489</v>
      </c>
      <c r="I47" s="14">
        <f>WORKDAY(表格1[[#This Row],[預估開始日期]],表格1[[#This Row],[預估工作日]])</f>
        <v>46497</v>
      </c>
    </row>
    <row r="48" spans="1:9" ht="15" x14ac:dyDescent="0.25">
      <c r="A48" s="11"/>
      <c r="B48" s="12"/>
      <c r="C48" s="9"/>
      <c r="D48" s="9"/>
      <c r="E48" s="9"/>
      <c r="F48" s="1" t="s">
        <v>85</v>
      </c>
      <c r="G48" s="1">
        <v>6</v>
      </c>
      <c r="H48" s="14">
        <f t="shared" si="0"/>
        <v>46497</v>
      </c>
      <c r="I48" s="14">
        <f>WORKDAY(表格1[[#This Row],[預估開始日期]],表格1[[#This Row],[預估工作日]])</f>
        <v>46505</v>
      </c>
    </row>
    <row r="49" spans="1:9" ht="15" x14ac:dyDescent="0.25">
      <c r="A49" s="11"/>
      <c r="B49" s="12"/>
      <c r="C49" s="9"/>
      <c r="D49" s="9"/>
      <c r="E49" s="9"/>
      <c r="F49" s="1" t="s">
        <v>86</v>
      </c>
      <c r="G49" s="1">
        <v>6</v>
      </c>
      <c r="H49" s="14">
        <f t="shared" si="0"/>
        <v>46505</v>
      </c>
      <c r="I49" s="14">
        <f>WORKDAY(表格1[[#This Row],[預估開始日期]],表格1[[#This Row],[預估工作日]])</f>
        <v>46513</v>
      </c>
    </row>
    <row r="50" spans="1:9" ht="15" x14ac:dyDescent="0.25">
      <c r="A50" s="11"/>
      <c r="B50" s="12"/>
      <c r="C50" s="9"/>
      <c r="D50" s="9" t="s">
        <v>19</v>
      </c>
      <c r="E50" s="9"/>
      <c r="F50" s="1" t="s">
        <v>80</v>
      </c>
      <c r="G50" s="1">
        <v>6</v>
      </c>
      <c r="H50" s="14">
        <f t="shared" si="0"/>
        <v>46513</v>
      </c>
      <c r="I50" s="14">
        <f>WORKDAY(表格1[[#This Row],[預估開始日期]],表格1[[#This Row],[預估工作日]])</f>
        <v>46521</v>
      </c>
    </row>
    <row r="51" spans="1:9" ht="15" x14ac:dyDescent="0.25">
      <c r="A51" s="11"/>
      <c r="B51" s="12"/>
      <c r="C51" s="9"/>
      <c r="D51" s="9"/>
      <c r="E51" s="9"/>
      <c r="F51" s="1" t="s">
        <v>81</v>
      </c>
      <c r="G51" s="1">
        <v>6</v>
      </c>
      <c r="H51" s="14">
        <f t="shared" si="0"/>
        <v>46521</v>
      </c>
      <c r="I51" s="14">
        <f>WORKDAY(表格1[[#This Row],[預估開始日期]],表格1[[#This Row],[預估工作日]])</f>
        <v>46531</v>
      </c>
    </row>
    <row r="52" spans="1:9" ht="15" x14ac:dyDescent="0.25">
      <c r="A52" s="11"/>
      <c r="B52" s="12"/>
      <c r="C52" s="9"/>
      <c r="D52" s="9"/>
      <c r="E52" s="9"/>
      <c r="F52" s="1" t="s">
        <v>82</v>
      </c>
      <c r="G52" s="1">
        <v>6</v>
      </c>
      <c r="H52" s="14">
        <f t="shared" si="0"/>
        <v>46531</v>
      </c>
      <c r="I52" s="14">
        <f>WORKDAY(表格1[[#This Row],[預估開始日期]],表格1[[#This Row],[預估工作日]])</f>
        <v>46539</v>
      </c>
    </row>
    <row r="53" spans="1:9" ht="15" x14ac:dyDescent="0.25">
      <c r="A53" s="11"/>
      <c r="B53" s="12"/>
      <c r="C53" s="9"/>
      <c r="D53" s="8" t="s">
        <v>20</v>
      </c>
      <c r="E53" s="8"/>
      <c r="F53" s="8"/>
      <c r="G53" s="1">
        <v>10</v>
      </c>
      <c r="H53" s="14">
        <f t="shared" si="0"/>
        <v>46539</v>
      </c>
      <c r="I53" s="14">
        <f>WORKDAY(表格1[[#This Row],[預估開始日期]],表格1[[#This Row],[預估工作日]])</f>
        <v>46553</v>
      </c>
    </row>
    <row r="54" spans="1:9" ht="15" x14ac:dyDescent="0.25">
      <c r="A54" s="11"/>
      <c r="B54" s="12"/>
      <c r="C54" s="9"/>
      <c r="D54" s="9" t="s">
        <v>24</v>
      </c>
      <c r="E54" s="9"/>
      <c r="F54" s="1" t="s">
        <v>87</v>
      </c>
      <c r="G54" s="1">
        <v>6</v>
      </c>
      <c r="H54" s="14">
        <f t="shared" si="0"/>
        <v>46553</v>
      </c>
      <c r="I54" s="14">
        <f>WORKDAY(表格1[[#This Row],[預估開始日期]],表格1[[#This Row],[預估工作日]])</f>
        <v>46561</v>
      </c>
    </row>
    <row r="55" spans="1:9" ht="15" x14ac:dyDescent="0.25">
      <c r="A55" s="11"/>
      <c r="B55" s="12"/>
      <c r="C55" s="9"/>
      <c r="D55" s="9"/>
      <c r="E55" s="9"/>
      <c r="F55" s="1" t="s">
        <v>88</v>
      </c>
      <c r="G55" s="1">
        <v>6</v>
      </c>
      <c r="H55" s="14">
        <f t="shared" si="0"/>
        <v>46561</v>
      </c>
      <c r="I55" s="14">
        <f>WORKDAY(表格1[[#This Row],[預估開始日期]],表格1[[#This Row],[預估工作日]])</f>
        <v>46569</v>
      </c>
    </row>
    <row r="56" spans="1:9" ht="15" x14ac:dyDescent="0.25">
      <c r="A56" s="11"/>
      <c r="B56" s="12"/>
      <c r="C56" s="9"/>
      <c r="D56" s="9"/>
      <c r="E56" s="9"/>
      <c r="F56" s="1" t="s">
        <v>89</v>
      </c>
      <c r="G56" s="1">
        <v>6</v>
      </c>
      <c r="H56" s="14">
        <f t="shared" si="0"/>
        <v>46569</v>
      </c>
      <c r="I56" s="14">
        <f>WORKDAY(表格1[[#This Row],[預估開始日期]],表格1[[#This Row],[預估工作日]])</f>
        <v>46577</v>
      </c>
    </row>
    <row r="57" spans="1:9" ht="15" x14ac:dyDescent="0.25">
      <c r="A57" s="11"/>
      <c r="B57" s="12"/>
      <c r="C57" s="9" t="s">
        <v>8</v>
      </c>
      <c r="D57" s="8" t="s">
        <v>25</v>
      </c>
      <c r="E57" s="8"/>
      <c r="F57" s="8"/>
      <c r="G57" s="1">
        <v>6</v>
      </c>
      <c r="H57" s="14">
        <f t="shared" si="0"/>
        <v>46577</v>
      </c>
      <c r="I57" s="14">
        <f>WORKDAY(表格1[[#This Row],[預估開始日期]],表格1[[#This Row],[預估工作日]])</f>
        <v>46587</v>
      </c>
    </row>
    <row r="58" spans="1:9" ht="15" x14ac:dyDescent="0.25">
      <c r="A58" s="11"/>
      <c r="B58" s="12"/>
      <c r="C58" s="9"/>
      <c r="D58" s="8" t="s">
        <v>26</v>
      </c>
      <c r="E58" s="8"/>
      <c r="F58" s="8"/>
      <c r="G58" s="1">
        <v>6</v>
      </c>
      <c r="H58" s="14">
        <f t="shared" si="0"/>
        <v>46587</v>
      </c>
      <c r="I58" s="14">
        <f>WORKDAY(表格1[[#This Row],[預估開始日期]],表格1[[#This Row],[預估工作日]])</f>
        <v>46595</v>
      </c>
    </row>
    <row r="59" spans="1:9" ht="15" x14ac:dyDescent="0.25">
      <c r="A59" s="11"/>
      <c r="B59" s="12"/>
      <c r="C59" s="9" t="s">
        <v>9</v>
      </c>
      <c r="D59" s="9" t="s">
        <v>27</v>
      </c>
      <c r="E59" s="9" t="s">
        <v>47</v>
      </c>
      <c r="F59" s="1" t="s">
        <v>87</v>
      </c>
      <c r="G59" s="1">
        <v>6</v>
      </c>
      <c r="H59" s="14">
        <f t="shared" si="0"/>
        <v>46595</v>
      </c>
      <c r="I59" s="14">
        <f>WORKDAY(表格1[[#This Row],[預估開始日期]],表格1[[#This Row],[預估工作日]])</f>
        <v>46603</v>
      </c>
    </row>
    <row r="60" spans="1:9" ht="15" x14ac:dyDescent="0.25">
      <c r="A60" s="11"/>
      <c r="B60" s="12"/>
      <c r="C60" s="9"/>
      <c r="D60" s="9"/>
      <c r="E60" s="9"/>
      <c r="F60" s="1" t="s">
        <v>88</v>
      </c>
      <c r="G60" s="1">
        <v>6</v>
      </c>
      <c r="H60" s="14">
        <f t="shared" si="0"/>
        <v>46603</v>
      </c>
      <c r="I60" s="14">
        <f>WORKDAY(表格1[[#This Row],[預估開始日期]],表格1[[#This Row],[預估工作日]])</f>
        <v>46611</v>
      </c>
    </row>
    <row r="61" spans="1:9" ht="15" x14ac:dyDescent="0.25">
      <c r="A61" s="11"/>
      <c r="B61" s="12"/>
      <c r="C61" s="9"/>
      <c r="D61" s="9"/>
      <c r="E61" s="9"/>
      <c r="F61" s="1" t="s">
        <v>89</v>
      </c>
      <c r="G61" s="1">
        <v>6</v>
      </c>
      <c r="H61" s="14">
        <f t="shared" si="0"/>
        <v>46611</v>
      </c>
      <c r="I61" s="14">
        <f>WORKDAY(表格1[[#This Row],[預估開始日期]],表格1[[#This Row],[預估工作日]])</f>
        <v>46619</v>
      </c>
    </row>
    <row r="62" spans="1:9" ht="15" x14ac:dyDescent="0.25">
      <c r="A62" s="11"/>
      <c r="B62" s="12"/>
      <c r="C62" s="9"/>
      <c r="D62" s="9"/>
      <c r="E62" s="9" t="s">
        <v>48</v>
      </c>
      <c r="F62" s="1" t="s">
        <v>87</v>
      </c>
      <c r="G62" s="1">
        <v>6</v>
      </c>
      <c r="H62" s="14">
        <f t="shared" si="0"/>
        <v>46619</v>
      </c>
      <c r="I62" s="14">
        <f>WORKDAY(表格1[[#This Row],[預估開始日期]],表格1[[#This Row],[預估工作日]])</f>
        <v>46629</v>
      </c>
    </row>
    <row r="63" spans="1:9" ht="15" x14ac:dyDescent="0.25">
      <c r="A63" s="11"/>
      <c r="B63" s="12"/>
      <c r="C63" s="9"/>
      <c r="D63" s="9"/>
      <c r="E63" s="9"/>
      <c r="F63" s="1" t="s">
        <v>88</v>
      </c>
      <c r="G63" s="1">
        <v>6</v>
      </c>
      <c r="H63" s="14">
        <f t="shared" si="0"/>
        <v>46629</v>
      </c>
      <c r="I63" s="14">
        <f>WORKDAY(表格1[[#This Row],[預估開始日期]],表格1[[#This Row],[預估工作日]])</f>
        <v>46637</v>
      </c>
    </row>
    <row r="64" spans="1:9" ht="15" x14ac:dyDescent="0.25">
      <c r="A64" s="11"/>
      <c r="B64" s="12"/>
      <c r="C64" s="9"/>
      <c r="D64" s="9"/>
      <c r="E64" s="9"/>
      <c r="F64" s="1" t="s">
        <v>89</v>
      </c>
      <c r="G64" s="1">
        <v>6</v>
      </c>
      <c r="H64" s="14">
        <f t="shared" si="0"/>
        <v>46637</v>
      </c>
      <c r="I64" s="14">
        <f>WORKDAY(表格1[[#This Row],[預估開始日期]],表格1[[#This Row],[預估工作日]])</f>
        <v>46645</v>
      </c>
    </row>
    <row r="65" spans="1:9" ht="15.75" customHeight="1" x14ac:dyDescent="0.25">
      <c r="A65" s="11"/>
      <c r="B65" s="12"/>
      <c r="C65" s="9"/>
      <c r="D65" s="9"/>
      <c r="E65" s="9" t="s">
        <v>49</v>
      </c>
      <c r="F65" s="1" t="s">
        <v>87</v>
      </c>
      <c r="G65" s="1">
        <v>6</v>
      </c>
      <c r="H65" s="14">
        <f t="shared" si="0"/>
        <v>46645</v>
      </c>
      <c r="I65" s="14">
        <f>WORKDAY(表格1[[#This Row],[預估開始日期]],表格1[[#This Row],[預估工作日]])</f>
        <v>46653</v>
      </c>
    </row>
    <row r="66" spans="1:9" ht="15" x14ac:dyDescent="0.25">
      <c r="A66" s="11"/>
      <c r="B66" s="12"/>
      <c r="C66" s="9"/>
      <c r="D66" s="9"/>
      <c r="E66" s="9"/>
      <c r="F66" s="1" t="s">
        <v>88</v>
      </c>
      <c r="G66" s="1">
        <v>6</v>
      </c>
      <c r="H66" s="14">
        <f t="shared" si="0"/>
        <v>46653</v>
      </c>
      <c r="I66" s="14">
        <f>WORKDAY(表格1[[#This Row],[預估開始日期]],表格1[[#This Row],[預估工作日]])</f>
        <v>46661</v>
      </c>
    </row>
    <row r="67" spans="1:9" ht="15" x14ac:dyDescent="0.25">
      <c r="A67" s="11"/>
      <c r="B67" s="12"/>
      <c r="C67" s="9"/>
      <c r="D67" s="9"/>
      <c r="E67" s="9"/>
      <c r="F67" s="1" t="s">
        <v>89</v>
      </c>
      <c r="G67" s="1">
        <v>6</v>
      </c>
      <c r="H67" s="14">
        <f t="shared" si="0"/>
        <v>46661</v>
      </c>
      <c r="I67" s="14">
        <f>WORKDAY(表格1[[#This Row],[預估開始日期]],表格1[[#This Row],[預估工作日]])</f>
        <v>46671</v>
      </c>
    </row>
    <row r="68" spans="1:9" ht="15" x14ac:dyDescent="0.25">
      <c r="A68" s="11"/>
      <c r="B68" s="12"/>
      <c r="C68" s="9"/>
      <c r="D68" s="9" t="s">
        <v>28</v>
      </c>
      <c r="E68" s="9" t="s">
        <v>52</v>
      </c>
      <c r="F68" s="1" t="s">
        <v>87</v>
      </c>
      <c r="G68" s="1">
        <v>6</v>
      </c>
      <c r="H68" s="14">
        <f t="shared" ref="H68:H93" si="1">I67</f>
        <v>46671</v>
      </c>
      <c r="I68" s="14">
        <f>WORKDAY(表格1[[#This Row],[預估開始日期]],表格1[[#This Row],[預估工作日]])</f>
        <v>46679</v>
      </c>
    </row>
    <row r="69" spans="1:9" ht="15" x14ac:dyDescent="0.25">
      <c r="A69" s="11"/>
      <c r="B69" s="12"/>
      <c r="C69" s="9"/>
      <c r="D69" s="9"/>
      <c r="E69" s="9"/>
      <c r="F69" s="1" t="s">
        <v>88</v>
      </c>
      <c r="G69" s="1">
        <v>6</v>
      </c>
      <c r="H69" s="14">
        <f t="shared" si="1"/>
        <v>46679</v>
      </c>
      <c r="I69" s="14">
        <f>WORKDAY(表格1[[#This Row],[預估開始日期]],表格1[[#This Row],[預估工作日]])</f>
        <v>46687</v>
      </c>
    </row>
    <row r="70" spans="1:9" ht="15" x14ac:dyDescent="0.25">
      <c r="A70" s="11"/>
      <c r="B70" s="12"/>
      <c r="C70" s="9"/>
      <c r="D70" s="9"/>
      <c r="E70" s="9"/>
      <c r="F70" s="1" t="s">
        <v>89</v>
      </c>
      <c r="G70" s="1">
        <v>6</v>
      </c>
      <c r="H70" s="14">
        <f t="shared" si="1"/>
        <v>46687</v>
      </c>
      <c r="I70" s="14">
        <f>WORKDAY(表格1[[#This Row],[預估開始日期]],表格1[[#This Row],[預估工作日]])</f>
        <v>46695</v>
      </c>
    </row>
    <row r="71" spans="1:9" ht="15" x14ac:dyDescent="0.25">
      <c r="A71" s="11"/>
      <c r="B71" s="12"/>
      <c r="C71" s="9"/>
      <c r="D71" s="9"/>
      <c r="E71" s="9" t="s">
        <v>53</v>
      </c>
      <c r="F71" s="1" t="s">
        <v>87</v>
      </c>
      <c r="G71" s="1">
        <v>6</v>
      </c>
      <c r="H71" s="14">
        <f t="shared" si="1"/>
        <v>46695</v>
      </c>
      <c r="I71" s="14">
        <f>WORKDAY(表格1[[#This Row],[預估開始日期]],表格1[[#This Row],[預估工作日]])</f>
        <v>46703</v>
      </c>
    </row>
    <row r="72" spans="1:9" ht="15" x14ac:dyDescent="0.25">
      <c r="A72" s="11"/>
      <c r="B72" s="12"/>
      <c r="C72" s="9"/>
      <c r="D72" s="9"/>
      <c r="E72" s="9"/>
      <c r="F72" s="1" t="s">
        <v>88</v>
      </c>
      <c r="G72" s="1">
        <v>6</v>
      </c>
      <c r="H72" s="14">
        <f t="shared" si="1"/>
        <v>46703</v>
      </c>
      <c r="I72" s="14">
        <f>WORKDAY(表格1[[#This Row],[預估開始日期]],表格1[[#This Row],[預估工作日]])</f>
        <v>46713</v>
      </c>
    </row>
    <row r="73" spans="1:9" ht="15" x14ac:dyDescent="0.25">
      <c r="A73" s="11"/>
      <c r="B73" s="12"/>
      <c r="C73" s="9"/>
      <c r="D73" s="9"/>
      <c r="E73" s="9"/>
      <c r="F73" s="1" t="s">
        <v>89</v>
      </c>
      <c r="G73" s="1">
        <v>6</v>
      </c>
      <c r="H73" s="14">
        <f t="shared" si="1"/>
        <v>46713</v>
      </c>
      <c r="I73" s="14">
        <f>WORKDAY(表格1[[#This Row],[預估開始日期]],表格1[[#This Row],[預估工作日]])</f>
        <v>46721</v>
      </c>
    </row>
    <row r="74" spans="1:9" ht="15" x14ac:dyDescent="0.25">
      <c r="A74" s="11"/>
      <c r="B74" s="12"/>
      <c r="C74" s="9"/>
      <c r="D74" s="9"/>
      <c r="E74" s="9" t="s">
        <v>50</v>
      </c>
      <c r="F74" s="1" t="s">
        <v>87</v>
      </c>
      <c r="G74" s="1">
        <v>6</v>
      </c>
      <c r="H74" s="14">
        <f t="shared" si="1"/>
        <v>46721</v>
      </c>
      <c r="I74" s="14">
        <f>WORKDAY(表格1[[#This Row],[預估開始日期]],表格1[[#This Row],[預估工作日]])</f>
        <v>46729</v>
      </c>
    </row>
    <row r="75" spans="1:9" ht="15" x14ac:dyDescent="0.25">
      <c r="A75" s="11"/>
      <c r="B75" s="12"/>
      <c r="C75" s="9"/>
      <c r="D75" s="9"/>
      <c r="E75" s="9"/>
      <c r="F75" s="1" t="s">
        <v>88</v>
      </c>
      <c r="G75" s="1">
        <v>6</v>
      </c>
      <c r="H75" s="14">
        <f t="shared" si="1"/>
        <v>46729</v>
      </c>
      <c r="I75" s="14">
        <f>WORKDAY(表格1[[#This Row],[預估開始日期]],表格1[[#This Row],[預估工作日]])</f>
        <v>46737</v>
      </c>
    </row>
    <row r="76" spans="1:9" ht="15" x14ac:dyDescent="0.25">
      <c r="A76" s="11"/>
      <c r="B76" s="12"/>
      <c r="C76" s="9"/>
      <c r="D76" s="9"/>
      <c r="E76" s="9"/>
      <c r="F76" s="1" t="s">
        <v>89</v>
      </c>
      <c r="G76" s="1">
        <v>6</v>
      </c>
      <c r="H76" s="14">
        <f t="shared" si="1"/>
        <v>46737</v>
      </c>
      <c r="I76" s="14">
        <f>WORKDAY(表格1[[#This Row],[預估開始日期]],表格1[[#This Row],[預估工作日]])</f>
        <v>46745</v>
      </c>
    </row>
    <row r="77" spans="1:9" ht="15" x14ac:dyDescent="0.25">
      <c r="A77" s="11"/>
      <c r="B77" s="12"/>
      <c r="C77" s="9"/>
      <c r="D77" s="9"/>
      <c r="E77" s="9" t="s">
        <v>51</v>
      </c>
      <c r="F77" s="1" t="s">
        <v>87</v>
      </c>
      <c r="G77" s="1">
        <v>6</v>
      </c>
      <c r="H77" s="14">
        <f t="shared" si="1"/>
        <v>46745</v>
      </c>
      <c r="I77" s="14">
        <f>WORKDAY(表格1[[#This Row],[預估開始日期]],表格1[[#This Row],[預估工作日]])</f>
        <v>46755</v>
      </c>
    </row>
    <row r="78" spans="1:9" ht="15" x14ac:dyDescent="0.25">
      <c r="A78" s="11"/>
      <c r="B78" s="12"/>
      <c r="C78" s="9"/>
      <c r="D78" s="9"/>
      <c r="E78" s="9"/>
      <c r="F78" s="1" t="s">
        <v>88</v>
      </c>
      <c r="G78" s="1">
        <v>6</v>
      </c>
      <c r="H78" s="14">
        <f t="shared" si="1"/>
        <v>46755</v>
      </c>
      <c r="I78" s="14">
        <f>WORKDAY(表格1[[#This Row],[預估開始日期]],表格1[[#This Row],[預估工作日]])</f>
        <v>46763</v>
      </c>
    </row>
    <row r="79" spans="1:9" ht="15" x14ac:dyDescent="0.25">
      <c r="A79" s="11"/>
      <c r="B79" s="12"/>
      <c r="C79" s="9"/>
      <c r="D79" s="9"/>
      <c r="E79" s="9"/>
      <c r="F79" s="1" t="s">
        <v>89</v>
      </c>
      <c r="G79" s="1">
        <v>6</v>
      </c>
      <c r="H79" s="14">
        <f t="shared" si="1"/>
        <v>46763</v>
      </c>
      <c r="I79" s="14">
        <f>WORKDAY(表格1[[#This Row],[預估開始日期]],表格1[[#This Row],[預估工作日]])</f>
        <v>46771</v>
      </c>
    </row>
    <row r="80" spans="1:9" ht="15.75" customHeight="1" x14ac:dyDescent="0.25">
      <c r="A80" s="11"/>
      <c r="B80" s="12"/>
      <c r="C80" s="9"/>
      <c r="D80" s="9" t="s">
        <v>29</v>
      </c>
      <c r="E80" s="8" t="s">
        <v>87</v>
      </c>
      <c r="F80" s="8"/>
      <c r="G80" s="1">
        <v>6</v>
      </c>
      <c r="H80" s="14">
        <f t="shared" si="1"/>
        <v>46771</v>
      </c>
      <c r="I80" s="14">
        <f>WORKDAY(表格1[[#This Row],[預估開始日期]],表格1[[#This Row],[預估工作日]])</f>
        <v>46779</v>
      </c>
    </row>
    <row r="81" spans="1:9" ht="15.75" customHeight="1" x14ac:dyDescent="0.25">
      <c r="A81" s="11"/>
      <c r="B81" s="12"/>
      <c r="C81" s="9"/>
      <c r="D81" s="9"/>
      <c r="E81" s="8" t="s">
        <v>88</v>
      </c>
      <c r="F81" s="8"/>
      <c r="G81" s="1">
        <v>6</v>
      </c>
      <c r="H81" s="14">
        <f t="shared" si="1"/>
        <v>46779</v>
      </c>
      <c r="I81" s="14">
        <f>WORKDAY(表格1[[#This Row],[預估開始日期]],表格1[[#This Row],[預估工作日]])</f>
        <v>46787</v>
      </c>
    </row>
    <row r="82" spans="1:9" ht="15.75" customHeight="1" x14ac:dyDescent="0.25">
      <c r="A82" s="11"/>
      <c r="B82" s="12"/>
      <c r="C82" s="9"/>
      <c r="D82" s="9"/>
      <c r="E82" s="8" t="s">
        <v>89</v>
      </c>
      <c r="F82" s="8"/>
      <c r="G82" s="1">
        <v>6</v>
      </c>
      <c r="H82" s="14">
        <f t="shared" si="1"/>
        <v>46787</v>
      </c>
      <c r="I82" s="14">
        <f>WORKDAY(表格1[[#This Row],[預估開始日期]],表格1[[#This Row],[預估工作日]])</f>
        <v>46797</v>
      </c>
    </row>
    <row r="83" spans="1:9" ht="15" x14ac:dyDescent="0.25">
      <c r="A83" s="11"/>
      <c r="B83" s="12"/>
      <c r="C83" s="9" t="s">
        <v>30</v>
      </c>
      <c r="D83" s="9" t="s">
        <v>31</v>
      </c>
      <c r="E83" s="8" t="s">
        <v>87</v>
      </c>
      <c r="F83" s="8"/>
      <c r="G83" s="1">
        <v>6</v>
      </c>
      <c r="H83" s="14">
        <f t="shared" si="1"/>
        <v>46797</v>
      </c>
      <c r="I83" s="14">
        <f>WORKDAY(表格1[[#This Row],[預估開始日期]],表格1[[#This Row],[預估工作日]])</f>
        <v>46805</v>
      </c>
    </row>
    <row r="84" spans="1:9" ht="15" x14ac:dyDescent="0.25">
      <c r="A84" s="11"/>
      <c r="B84" s="12"/>
      <c r="C84" s="9"/>
      <c r="D84" s="9"/>
      <c r="E84" s="8" t="s">
        <v>88</v>
      </c>
      <c r="F84" s="8"/>
      <c r="G84" s="1">
        <v>6</v>
      </c>
      <c r="H84" s="14">
        <f t="shared" si="1"/>
        <v>46805</v>
      </c>
      <c r="I84" s="14">
        <f>WORKDAY(表格1[[#This Row],[預估開始日期]],表格1[[#This Row],[預估工作日]])</f>
        <v>46813</v>
      </c>
    </row>
    <row r="85" spans="1:9" ht="15" x14ac:dyDescent="0.25">
      <c r="A85" s="11"/>
      <c r="B85" s="12"/>
      <c r="C85" s="9"/>
      <c r="D85" s="9"/>
      <c r="E85" s="8" t="s">
        <v>89</v>
      </c>
      <c r="F85" s="8"/>
      <c r="G85" s="1">
        <v>6</v>
      </c>
      <c r="H85" s="14">
        <f t="shared" si="1"/>
        <v>46813</v>
      </c>
      <c r="I85" s="14">
        <f>WORKDAY(表格1[[#This Row],[預估開始日期]],表格1[[#This Row],[預估工作日]])</f>
        <v>46821</v>
      </c>
    </row>
    <row r="86" spans="1:9" ht="15" x14ac:dyDescent="0.25">
      <c r="A86" s="11"/>
      <c r="B86" s="12"/>
      <c r="C86" s="9"/>
      <c r="D86" s="9" t="s">
        <v>32</v>
      </c>
      <c r="E86" s="8" t="s">
        <v>87</v>
      </c>
      <c r="F86" s="8"/>
      <c r="G86" s="1">
        <v>6</v>
      </c>
      <c r="H86" s="14">
        <f t="shared" si="1"/>
        <v>46821</v>
      </c>
      <c r="I86" s="14">
        <f>WORKDAY(表格1[[#This Row],[預估開始日期]],表格1[[#This Row],[預估工作日]])</f>
        <v>46829</v>
      </c>
    </row>
    <row r="87" spans="1:9" ht="15" x14ac:dyDescent="0.25">
      <c r="A87" s="11"/>
      <c r="B87" s="12"/>
      <c r="C87" s="9"/>
      <c r="D87" s="9"/>
      <c r="E87" s="8" t="s">
        <v>88</v>
      </c>
      <c r="F87" s="8"/>
      <c r="G87" s="1">
        <v>6</v>
      </c>
      <c r="H87" s="14">
        <f t="shared" si="1"/>
        <v>46829</v>
      </c>
      <c r="I87" s="14">
        <f>WORKDAY(表格1[[#This Row],[預估開始日期]],表格1[[#This Row],[預估工作日]])</f>
        <v>46839</v>
      </c>
    </row>
    <row r="88" spans="1:9" ht="15" x14ac:dyDescent="0.25">
      <c r="A88" s="11"/>
      <c r="B88" s="12"/>
      <c r="C88" s="9"/>
      <c r="D88" s="9"/>
      <c r="E88" s="8" t="s">
        <v>89</v>
      </c>
      <c r="F88" s="8"/>
      <c r="G88" s="1">
        <v>6</v>
      </c>
      <c r="H88" s="14">
        <f t="shared" si="1"/>
        <v>46839</v>
      </c>
      <c r="I88" s="14">
        <f>WORKDAY(表格1[[#This Row],[預估開始日期]],表格1[[#This Row],[預估工作日]])</f>
        <v>46847</v>
      </c>
    </row>
    <row r="89" spans="1:9" ht="15" x14ac:dyDescent="0.25">
      <c r="A89" s="11"/>
      <c r="B89" s="12"/>
      <c r="C89" s="9"/>
      <c r="D89" s="8" t="s">
        <v>33</v>
      </c>
      <c r="E89" s="8"/>
      <c r="F89" s="8"/>
      <c r="G89" s="1">
        <v>6</v>
      </c>
      <c r="H89" s="14">
        <f t="shared" si="1"/>
        <v>46847</v>
      </c>
      <c r="I89" s="14">
        <f>WORKDAY(表格1[[#This Row],[預估開始日期]],表格1[[#This Row],[預估工作日]])</f>
        <v>46855</v>
      </c>
    </row>
    <row r="90" spans="1:9" ht="15" x14ac:dyDescent="0.25">
      <c r="A90" s="11"/>
      <c r="B90" s="12" t="s">
        <v>2</v>
      </c>
      <c r="C90" s="9" t="s">
        <v>10</v>
      </c>
      <c r="D90" s="9" t="s">
        <v>67</v>
      </c>
      <c r="E90" s="9"/>
      <c r="F90" s="9"/>
      <c r="G90" s="1">
        <v>10</v>
      </c>
      <c r="H90" s="14">
        <f t="shared" si="1"/>
        <v>46855</v>
      </c>
      <c r="I90" s="14">
        <f>WORKDAY(表格1[[#This Row],[預估開始日期]],表格1[[#This Row],[預估工作日]])</f>
        <v>46869</v>
      </c>
    </row>
    <row r="91" spans="1:9" ht="15" x14ac:dyDescent="0.25">
      <c r="A91" s="11"/>
      <c r="B91" s="12"/>
      <c r="C91" s="9"/>
      <c r="D91" s="9" t="s">
        <v>68</v>
      </c>
      <c r="E91" s="9"/>
      <c r="F91" s="9"/>
      <c r="G91" s="1">
        <v>10</v>
      </c>
      <c r="H91" s="14">
        <f t="shared" si="1"/>
        <v>46869</v>
      </c>
      <c r="I91" s="14">
        <f>WORKDAY(表格1[[#This Row],[預估開始日期]],表格1[[#This Row],[預估工作日]])</f>
        <v>46883</v>
      </c>
    </row>
    <row r="92" spans="1:9" ht="15" x14ac:dyDescent="0.25">
      <c r="A92" s="11"/>
      <c r="B92" s="12"/>
      <c r="C92" s="9" t="s">
        <v>11</v>
      </c>
      <c r="D92" s="9" t="s">
        <v>69</v>
      </c>
      <c r="E92" s="9"/>
      <c r="F92" s="9"/>
      <c r="G92" s="1">
        <v>10</v>
      </c>
      <c r="H92" s="14">
        <f t="shared" si="1"/>
        <v>46883</v>
      </c>
      <c r="I92" s="14">
        <f>WORKDAY(表格1[[#This Row],[預估開始日期]],表格1[[#This Row],[預估工作日]])</f>
        <v>46897</v>
      </c>
    </row>
    <row r="93" spans="1:9" ht="15" x14ac:dyDescent="0.25">
      <c r="A93" s="11"/>
      <c r="B93" s="12"/>
      <c r="C93" s="9"/>
      <c r="D93" s="9" t="s">
        <v>70</v>
      </c>
      <c r="E93" s="9"/>
      <c r="F93" s="9"/>
      <c r="G93" s="1">
        <v>10</v>
      </c>
      <c r="H93" s="14">
        <f t="shared" si="1"/>
        <v>46897</v>
      </c>
      <c r="I93" s="14">
        <f>WORKDAY(表格1[[#This Row],[預估開始日期]],表格1[[#This Row],[預估工作日]])</f>
        <v>46911</v>
      </c>
    </row>
  </sheetData>
  <mergeCells count="93">
    <mergeCell ref="E88:F88"/>
    <mergeCell ref="D83:D85"/>
    <mergeCell ref="D86:D88"/>
    <mergeCell ref="D54:E56"/>
    <mergeCell ref="E82:F82"/>
    <mergeCell ref="E83:F83"/>
    <mergeCell ref="E84:F84"/>
    <mergeCell ref="E85:F85"/>
    <mergeCell ref="E86:F86"/>
    <mergeCell ref="E87:F87"/>
    <mergeCell ref="E59:E61"/>
    <mergeCell ref="E62:E64"/>
    <mergeCell ref="E65:E67"/>
    <mergeCell ref="E68:E70"/>
    <mergeCell ref="E71:E73"/>
    <mergeCell ref="E74:E76"/>
    <mergeCell ref="D91:F91"/>
    <mergeCell ref="D92:F92"/>
    <mergeCell ref="D93:F93"/>
    <mergeCell ref="B1:F1"/>
    <mergeCell ref="C44:C56"/>
    <mergeCell ref="D44:E49"/>
    <mergeCell ref="D50:E52"/>
    <mergeCell ref="D89:F89"/>
    <mergeCell ref="D90:F90"/>
    <mergeCell ref="E77:E79"/>
    <mergeCell ref="D80:D82"/>
    <mergeCell ref="E80:F80"/>
    <mergeCell ref="E81:F81"/>
    <mergeCell ref="D53:F53"/>
    <mergeCell ref="D57:F57"/>
    <mergeCell ref="D58:F58"/>
    <mergeCell ref="B4:F4"/>
    <mergeCell ref="B3:F3"/>
    <mergeCell ref="B2:F2"/>
    <mergeCell ref="B10:F10"/>
    <mergeCell ref="B9:F9"/>
    <mergeCell ref="B7:F7"/>
    <mergeCell ref="B6:F6"/>
    <mergeCell ref="B8:F8"/>
    <mergeCell ref="E13:F13"/>
    <mergeCell ref="B12:F12"/>
    <mergeCell ref="C18:C22"/>
    <mergeCell ref="B5:F5"/>
    <mergeCell ref="B11:F11"/>
    <mergeCell ref="D19:D20"/>
    <mergeCell ref="D21:D22"/>
    <mergeCell ref="D14:D15"/>
    <mergeCell ref="D16:D17"/>
    <mergeCell ref="A2:A3"/>
    <mergeCell ref="D32:E37"/>
    <mergeCell ref="D38:E40"/>
    <mergeCell ref="D41:F41"/>
    <mergeCell ref="A10:A12"/>
    <mergeCell ref="A13:A93"/>
    <mergeCell ref="A5:A7"/>
    <mergeCell ref="B90:B93"/>
    <mergeCell ref="C59:C82"/>
    <mergeCell ref="C83:C89"/>
    <mergeCell ref="B32:B89"/>
    <mergeCell ref="B13:B31"/>
    <mergeCell ref="C25:C30"/>
    <mergeCell ref="C23:C24"/>
    <mergeCell ref="C13:C17"/>
    <mergeCell ref="C92:C93"/>
    <mergeCell ref="D68:D79"/>
    <mergeCell ref="E18:F18"/>
    <mergeCell ref="E19:F19"/>
    <mergeCell ref="E20:F20"/>
    <mergeCell ref="C90:C91"/>
    <mergeCell ref="E21:F21"/>
    <mergeCell ref="E22:F22"/>
    <mergeCell ref="D23:F23"/>
    <mergeCell ref="D24:F24"/>
    <mergeCell ref="E25:F25"/>
    <mergeCell ref="E26:F26"/>
    <mergeCell ref="E27:F27"/>
    <mergeCell ref="E28:F28"/>
    <mergeCell ref="D59:D67"/>
    <mergeCell ref="C57:C58"/>
    <mergeCell ref="C32:C43"/>
    <mergeCell ref="D42:F42"/>
    <mergeCell ref="D43:F43"/>
    <mergeCell ref="E14:F14"/>
    <mergeCell ref="E15:F15"/>
    <mergeCell ref="E16:F16"/>
    <mergeCell ref="E17:F17"/>
    <mergeCell ref="D29:D30"/>
    <mergeCell ref="E29:F29"/>
    <mergeCell ref="E30:F30"/>
    <mergeCell ref="D31:F31"/>
    <mergeCell ref="D25:D26"/>
    <mergeCell ref="D27:D28"/>
  </mergeCells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工作列表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TSAI CHI CHEN/蔡季辰/ASI-ADD</dc:creator>
  <cp:lastModifiedBy>Helix Tsai/蔡鎰群/ASI-ADD</cp:lastModifiedBy>
  <dcterms:created xsi:type="dcterms:W3CDTF">2015-06-05T18:19:34Z</dcterms:created>
  <dcterms:modified xsi:type="dcterms:W3CDTF">2025-06-02T06:59:44Z</dcterms:modified>
</cp:coreProperties>
</file>